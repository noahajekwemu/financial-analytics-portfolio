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ah\Desktop\portfolio-projects\"/>
    </mc:Choice>
  </mc:AlternateContent>
  <xr:revisionPtr revIDLastSave="0" documentId="13_ncr:1_{9AB1B3FD-8308-4771-992C-F23A2E952CD1}" xr6:coauthVersionLast="47" xr6:coauthVersionMax="47" xr10:uidLastSave="{00000000-0000-0000-0000-000000000000}"/>
  <bookViews>
    <workbookView xWindow="-120" yWindow="-120" windowWidth="29040" windowHeight="15840" tabRatio="763" activeTab="6" xr2:uid="{184BBE89-128D-47EE-B055-DD96DA2F152F}"/>
  </bookViews>
  <sheets>
    <sheet name="ASSUMPTIONS" sheetId="1" r:id="rId1"/>
    <sheet name="SALES DATA" sheetId="2" r:id="rId2"/>
    <sheet name="INVENTORY" sheetId="3" r:id="rId3"/>
    <sheet name="DEMAND FORECAST" sheetId="4" r:id="rId4"/>
    <sheet name="CASH FLOW" sheetId="5" r:id="rId5"/>
    <sheet name="SCENARIOS" sheetId="6" r:id="rId6"/>
    <sheet name="DASHBOAR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C8" i="5"/>
  <c r="D8" i="5"/>
  <c r="E8" i="5"/>
  <c r="F8" i="5"/>
  <c r="G8" i="5"/>
  <c r="B8" i="5"/>
  <c r="I15" i="4" a="1"/>
  <c r="I15" i="4"/>
  <c r="D15" i="4" a="1"/>
  <c r="D15" i="4"/>
  <c r="E15" i="4" a="1"/>
  <c r="E15" i="4"/>
  <c r="F15" i="4" a="1"/>
  <c r="F15" i="4"/>
  <c r="G15" i="4" a="1"/>
  <c r="G15" i="4"/>
  <c r="H15" i="4" a="1"/>
  <c r="H15" i="4"/>
  <c r="C15" i="4" a="1"/>
  <c r="C15" i="4"/>
  <c r="E5" i="4"/>
  <c r="I20" i="3"/>
  <c r="I19" i="3"/>
  <c r="I18" i="3"/>
  <c r="I17" i="3"/>
  <c r="I16" i="3"/>
  <c r="I15" i="3"/>
  <c r="I14" i="3"/>
  <c r="B20" i="1"/>
  <c r="H7" i="3"/>
  <c r="H8" i="3"/>
  <c r="H9" i="3"/>
  <c r="H10" i="3"/>
  <c r="C24" i="2"/>
  <c r="C25" i="2"/>
  <c r="C26" i="2"/>
  <c r="C27" i="2"/>
  <c r="C15" i="2"/>
  <c r="D15" i="2"/>
  <c r="E15" i="2"/>
  <c r="F15" i="2"/>
  <c r="G15" i="2"/>
  <c r="H15" i="2"/>
  <c r="I15" i="2"/>
  <c r="J15" i="2"/>
  <c r="K15" i="2"/>
  <c r="L15" i="2"/>
  <c r="M15" i="2"/>
  <c r="N15" i="2"/>
  <c r="C16" i="2"/>
  <c r="D16" i="2"/>
  <c r="E16" i="2"/>
  <c r="F16" i="2"/>
  <c r="G16" i="2"/>
  <c r="H16" i="2"/>
  <c r="I16" i="2"/>
  <c r="J16" i="2"/>
  <c r="K16" i="2"/>
  <c r="L16" i="2"/>
  <c r="M16" i="2"/>
  <c r="N16" i="2"/>
  <c r="C17" i="2"/>
  <c r="D17" i="2"/>
  <c r="E17" i="2"/>
  <c r="F17" i="2"/>
  <c r="G17" i="2"/>
  <c r="H17" i="2"/>
  <c r="I17" i="2"/>
  <c r="J17" i="2"/>
  <c r="K17" i="2"/>
  <c r="L17" i="2"/>
  <c r="M17" i="2"/>
  <c r="N17" i="2"/>
  <c r="C18" i="2"/>
  <c r="D18" i="2"/>
  <c r="E18" i="2"/>
  <c r="F18" i="2"/>
  <c r="G18" i="2"/>
  <c r="H18" i="2"/>
  <c r="I18" i="2"/>
  <c r="J18" i="2"/>
  <c r="K18" i="2"/>
  <c r="L18" i="2"/>
  <c r="M18" i="2"/>
  <c r="N18" i="2"/>
  <c r="J14" i="2"/>
  <c r="K14" i="2"/>
  <c r="L14" i="2"/>
  <c r="M14" i="2"/>
  <c r="N14" i="2"/>
  <c r="E14" i="2"/>
  <c r="F14" i="2"/>
  <c r="G14" i="2"/>
  <c r="H14" i="2"/>
  <c r="I14" i="2"/>
  <c r="D14" i="2"/>
  <c r="C14" i="2"/>
  <c r="M4" i="7"/>
  <c r="H43" i="7"/>
  <c r="H42" i="7"/>
  <c r="H41" i="7"/>
  <c r="H40" i="7"/>
  <c r="D76" i="7"/>
  <c r="D77" i="7"/>
  <c r="D78" i="7"/>
  <c r="D79" i="7"/>
  <c r="D75" i="7"/>
  <c r="C75" i="7" a="1"/>
  <c r="C75" i="7"/>
  <c r="B75" i="7" a="1"/>
  <c r="B75" i="7"/>
  <c r="L32" i="7" a="1"/>
  <c r="L32" i="7"/>
  <c r="I32" i="7" a="1"/>
  <c r="I32" i="7"/>
  <c r="H32" i="7" a="1"/>
  <c r="H32" i="7"/>
  <c r="D32" i="7" a="1"/>
  <c r="D32" i="7"/>
  <c r="D37" i="7" s="1"/>
  <c r="C32" i="7" a="1"/>
  <c r="C32" i="7"/>
  <c r="B32" i="7" a="1"/>
  <c r="B32" i="7"/>
  <c r="K32" i="7" s="1"/>
  <c r="M32" i="7" s="1"/>
  <c r="K6" i="7"/>
  <c r="L3" i="7"/>
  <c r="C43" i="6"/>
  <c r="D43" i="6"/>
  <c r="B43" i="6"/>
  <c r="C42" i="6"/>
  <c r="D42" i="6"/>
  <c r="B42" i="6"/>
  <c r="B16" i="6"/>
  <c r="B15" i="6"/>
  <c r="E12" i="6"/>
  <c r="E11" i="6"/>
  <c r="E9" i="6"/>
  <c r="E10" i="6"/>
  <c r="E8" i="6"/>
  <c r="E7" i="6"/>
  <c r="E6" i="6"/>
  <c r="C26" i="5"/>
  <c r="C27" i="5"/>
  <c r="C28" i="5"/>
  <c r="C29" i="5"/>
  <c r="C30" i="5"/>
  <c r="C25" i="5"/>
  <c r="H17" i="5"/>
  <c r="H16" i="5"/>
  <c r="G14" i="5"/>
  <c r="F14" i="5"/>
  <c r="E14" i="5"/>
  <c r="D14" i="5"/>
  <c r="C14" i="5"/>
  <c r="B14" i="5"/>
  <c r="H14" i="5" s="1"/>
  <c r="H13" i="5"/>
  <c r="H9" i="5"/>
  <c r="B5" i="5"/>
  <c r="E28" i="4"/>
  <c r="E29" i="4"/>
  <c r="E30" i="4"/>
  <c r="E31" i="4"/>
  <c r="E27" i="4"/>
  <c r="C28" i="4"/>
  <c r="C29" i="4"/>
  <c r="C30" i="4"/>
  <c r="C31" i="4"/>
  <c r="C27" i="4"/>
  <c r="B20" i="4"/>
  <c r="B19" i="4"/>
  <c r="B18" i="4"/>
  <c r="B10" i="4"/>
  <c r="B28" i="4" s="1"/>
  <c r="B11" i="4"/>
  <c r="B29" i="4" s="1"/>
  <c r="B12" i="4"/>
  <c r="B30" i="4" s="1"/>
  <c r="B13" i="4"/>
  <c r="B31" i="4" s="1"/>
  <c r="B9" i="4"/>
  <c r="B27" i="4" s="1"/>
  <c r="A10" i="4"/>
  <c r="A28" i="4" s="1"/>
  <c r="A11" i="4"/>
  <c r="A29" i="4" s="1"/>
  <c r="A12" i="4"/>
  <c r="A30" i="4" s="1"/>
  <c r="A13" i="4"/>
  <c r="A31" i="4" s="1"/>
  <c r="A9" i="4"/>
  <c r="A27" i="4" s="1"/>
  <c r="F30" i="3"/>
  <c r="E30" i="3"/>
  <c r="F26" i="3"/>
  <c r="F27" i="3"/>
  <c r="F28" i="3"/>
  <c r="F29" i="3"/>
  <c r="F25" i="3"/>
  <c r="E26" i="3"/>
  <c r="E27" i="3"/>
  <c r="E28" i="3"/>
  <c r="E29" i="3"/>
  <c r="E25" i="3"/>
  <c r="D26" i="3"/>
  <c r="D27" i="3"/>
  <c r="D28" i="3"/>
  <c r="D29" i="3"/>
  <c r="D25" i="3"/>
  <c r="C26" i="3"/>
  <c r="C27" i="3"/>
  <c r="C28" i="3"/>
  <c r="C29" i="3"/>
  <c r="C25" i="3"/>
  <c r="B26" i="3"/>
  <c r="B27" i="3"/>
  <c r="B28" i="3"/>
  <c r="B29" i="3"/>
  <c r="B25" i="3"/>
  <c r="A26" i="3"/>
  <c r="A27" i="3"/>
  <c r="A28" i="3"/>
  <c r="A29" i="3"/>
  <c r="A25" i="3"/>
  <c r="F21" i="3"/>
  <c r="F15" i="3"/>
  <c r="F16" i="3"/>
  <c r="F17" i="3"/>
  <c r="F18" i="3"/>
  <c r="F19" i="3"/>
  <c r="F20" i="3"/>
  <c r="F14" i="3"/>
  <c r="I6" i="3"/>
  <c r="I7" i="3"/>
  <c r="I8" i="3"/>
  <c r="I9" i="3"/>
  <c r="I10" i="3"/>
  <c r="H6" i="3"/>
  <c r="F7" i="3"/>
  <c r="F8" i="3"/>
  <c r="F9" i="3"/>
  <c r="F10" i="3"/>
  <c r="F6" i="3"/>
  <c r="E6" i="3" a="1"/>
  <c r="E6" i="3"/>
  <c r="B6" i="3" a="1"/>
  <c r="B6" i="3"/>
  <c r="A7" i="3"/>
  <c r="A8" i="3"/>
  <c r="A9" i="3"/>
  <c r="A10" i="3"/>
  <c r="A6" i="3"/>
  <c r="C23" i="2"/>
  <c r="B24" i="2"/>
  <c r="B25" i="2"/>
  <c r="B26" i="2"/>
  <c r="B27" i="2"/>
  <c r="B23" i="2"/>
  <c r="A24" i="2"/>
  <c r="A25" i="2"/>
  <c r="A26" i="2"/>
  <c r="A27" i="2"/>
  <c r="A23" i="2"/>
  <c r="O18" i="2"/>
  <c r="O15" i="2"/>
  <c r="O16" i="2"/>
  <c r="O17" i="2"/>
  <c r="A15" i="2"/>
  <c r="B15" i="2"/>
  <c r="A16" i="2"/>
  <c r="B16" i="2"/>
  <c r="A17" i="2"/>
  <c r="B17" i="2"/>
  <c r="A18" i="2"/>
  <c r="B18" i="2"/>
  <c r="B14" i="2"/>
  <c r="A14" i="2"/>
  <c r="D10" i="2"/>
  <c r="E10" i="2"/>
  <c r="F10" i="2"/>
  <c r="G10" i="2"/>
  <c r="H10" i="2"/>
  <c r="I10" i="2"/>
  <c r="J10" i="2"/>
  <c r="K10" i="2"/>
  <c r="L10" i="2"/>
  <c r="M10" i="2"/>
  <c r="N10" i="2"/>
  <c r="O10" i="2"/>
  <c r="C10" i="2"/>
  <c r="O6" i="2"/>
  <c r="O7" i="2"/>
  <c r="O8" i="2"/>
  <c r="O9" i="2"/>
  <c r="O5" i="2"/>
  <c r="G8" i="3" l="1"/>
  <c r="G9" i="3"/>
  <c r="G10" i="3"/>
  <c r="G7" i="3"/>
  <c r="G6" i="3"/>
  <c r="J32" i="7" a="1"/>
  <c r="J32" i="7" s="1"/>
  <c r="K33" i="7"/>
  <c r="M33" i="7" s="1"/>
  <c r="K34" i="7"/>
  <c r="M34" i="7" s="1"/>
  <c r="K35" i="7"/>
  <c r="M35" i="7" s="1"/>
  <c r="K36" i="7"/>
  <c r="M36" i="7" s="1"/>
  <c r="C13" i="4"/>
  <c r="D13" i="4" s="1"/>
  <c r="E13" i="4" s="1"/>
  <c r="F13" i="4" s="1"/>
  <c r="G13" i="4" s="1"/>
  <c r="H13" i="4" s="1"/>
  <c r="C12" i="4"/>
  <c r="D12" i="4" s="1"/>
  <c r="E12" i="4" s="1"/>
  <c r="F12" i="4" s="1"/>
  <c r="G12" i="4" s="1"/>
  <c r="H12" i="4" s="1"/>
  <c r="C11" i="4"/>
  <c r="D11" i="4" s="1"/>
  <c r="E11" i="4" s="1"/>
  <c r="F11" i="4" s="1"/>
  <c r="G11" i="4" s="1"/>
  <c r="H11" i="4" s="1"/>
  <c r="C10" i="4"/>
  <c r="D10" i="4" s="1"/>
  <c r="E10" i="4" s="1"/>
  <c r="F10" i="4" s="1"/>
  <c r="G10" i="4" s="1"/>
  <c r="H10" i="4" s="1"/>
  <c r="C9" i="4"/>
  <c r="I10" i="4"/>
  <c r="I11" i="4"/>
  <c r="D29" i="4" s="1"/>
  <c r="F29" i="4" s="1"/>
  <c r="I12" i="4"/>
  <c r="D19" i="2"/>
  <c r="E19" i="2"/>
  <c r="F19" i="2"/>
  <c r="G19" i="2"/>
  <c r="H19" i="2"/>
  <c r="I19" i="2"/>
  <c r="J19" i="2"/>
  <c r="K19" i="2"/>
  <c r="L19" i="2"/>
  <c r="M19" i="2"/>
  <c r="N19" i="2"/>
  <c r="I29" i="4" l="1"/>
  <c r="G29" i="4"/>
  <c r="C14" i="4"/>
  <c r="D9" i="4"/>
  <c r="J12" i="4"/>
  <c r="D30" i="4"/>
  <c r="F30" i="4" s="1"/>
  <c r="D28" i="4"/>
  <c r="F28" i="4" s="1"/>
  <c r="J10" i="4"/>
  <c r="I13" i="4"/>
  <c r="J11" i="4"/>
  <c r="C19" i="2"/>
  <c r="O14" i="2"/>
  <c r="B15" i="5" l="1"/>
  <c r="O19" i="2"/>
  <c r="E32" i="7" a="1"/>
  <c r="E32" i="7" s="1"/>
  <c r="E37" i="7" s="1"/>
  <c r="I28" i="4"/>
  <c r="G28" i="4"/>
  <c r="I30" i="4"/>
  <c r="G30" i="4"/>
  <c r="E9" i="4"/>
  <c r="D14" i="4"/>
  <c r="J13" i="4"/>
  <c r="D31" i="4"/>
  <c r="F31" i="4" s="1"/>
  <c r="C15" i="5" l="1"/>
  <c r="C18" i="5" s="1"/>
  <c r="D42" i="7" s="1"/>
  <c r="C10" i="5"/>
  <c r="B10" i="5"/>
  <c r="B18" i="5"/>
  <c r="D41" i="7" s="1"/>
  <c r="C20" i="6"/>
  <c r="D20" i="6"/>
  <c r="B20" i="6"/>
  <c r="I31" i="4"/>
  <c r="G31" i="4"/>
  <c r="F9" i="4"/>
  <c r="E14" i="4"/>
  <c r="D15" i="5" l="1"/>
  <c r="C41" i="7"/>
  <c r="B20" i="5"/>
  <c r="C42" i="7"/>
  <c r="C20" i="5"/>
  <c r="E42" i="7" s="1"/>
  <c r="B30" i="6"/>
  <c r="B21" i="6"/>
  <c r="D30" i="6"/>
  <c r="D21" i="6"/>
  <c r="E20" i="6"/>
  <c r="C30" i="6"/>
  <c r="C21" i="6"/>
  <c r="G9" i="4"/>
  <c r="F14" i="4"/>
  <c r="E15" i="5" l="1"/>
  <c r="E18" i="5" s="1"/>
  <c r="D44" i="7" s="1"/>
  <c r="E10" i="5"/>
  <c r="E41" i="7"/>
  <c r="B21" i="5"/>
  <c r="D10" i="5"/>
  <c r="D18" i="5"/>
  <c r="D43" i="7" s="1"/>
  <c r="C22" i="6"/>
  <c r="C23" i="6" s="1"/>
  <c r="C24" i="6" s="1"/>
  <c r="C25" i="6" s="1"/>
  <c r="C26" i="6"/>
  <c r="C40" i="6" s="1"/>
  <c r="C31" i="6"/>
  <c r="C32" i="6" s="1"/>
  <c r="C33" i="6" s="1"/>
  <c r="C34" i="6" s="1"/>
  <c r="C35" i="6" s="1"/>
  <c r="C41" i="6" s="1"/>
  <c r="D22" i="6"/>
  <c r="E21" i="6"/>
  <c r="D31" i="6"/>
  <c r="D32" i="6" s="1"/>
  <c r="E30" i="6"/>
  <c r="E31" i="6" s="1"/>
  <c r="B22" i="6"/>
  <c r="B23" i="6" s="1"/>
  <c r="B24" i="6" s="1"/>
  <c r="B25" i="6" s="1"/>
  <c r="B26" i="6"/>
  <c r="B40" i="6" s="1"/>
  <c r="B31" i="6"/>
  <c r="H9" i="4"/>
  <c r="G14" i="4"/>
  <c r="F15" i="5" l="1"/>
  <c r="C43" i="7"/>
  <c r="D20" i="5"/>
  <c r="E43" i="7" s="1"/>
  <c r="B25" i="5"/>
  <c r="C5" i="5"/>
  <c r="C21" i="5" s="1"/>
  <c r="C44" i="7"/>
  <c r="E20" i="5"/>
  <c r="E44" i="7" s="1"/>
  <c r="B32" i="6"/>
  <c r="B33" i="6" s="1"/>
  <c r="B34" i="6" s="1"/>
  <c r="B35" i="6" s="1"/>
  <c r="B41" i="6" s="1"/>
  <c r="D23" i="6"/>
  <c r="E22" i="6"/>
  <c r="H14" i="4"/>
  <c r="I9" i="4"/>
  <c r="F32" i="7" l="1" a="1"/>
  <c r="F32" i="7" s="1"/>
  <c r="F37" i="7" s="1"/>
  <c r="H6" i="7"/>
  <c r="G15" i="5"/>
  <c r="G18" i="5" s="1"/>
  <c r="D46" i="7" s="1"/>
  <c r="G10" i="5"/>
  <c r="B26" i="5"/>
  <c r="D5" i="5"/>
  <c r="D21" i="5" s="1"/>
  <c r="E25" i="5"/>
  <c r="D25" i="5"/>
  <c r="F10" i="5"/>
  <c r="H8" i="5"/>
  <c r="H10" i="5" s="1"/>
  <c r="F18" i="5"/>
  <c r="D45" i="7" s="1"/>
  <c r="D47" i="7" s="1"/>
  <c r="H15" i="5"/>
  <c r="H18" i="5" s="1"/>
  <c r="E32" i="6"/>
  <c r="D24" i="6"/>
  <c r="E23" i="6"/>
  <c r="D33" i="6"/>
  <c r="D27" i="4"/>
  <c r="F27" i="4" s="1"/>
  <c r="J9" i="4"/>
  <c r="I14" i="4"/>
  <c r="J14" i="4" l="1"/>
  <c r="G32" i="7" a="1"/>
  <c r="G32" i="7" s="1"/>
  <c r="G37" i="7" s="1"/>
  <c r="H20" i="5"/>
  <c r="C45" i="7"/>
  <c r="F20" i="5"/>
  <c r="E45" i="7" s="1"/>
  <c r="E5" i="5"/>
  <c r="E21" i="5" s="1"/>
  <c r="B27" i="5"/>
  <c r="E26" i="5"/>
  <c r="D26" i="5"/>
  <c r="C46" i="7"/>
  <c r="G20" i="5"/>
  <c r="E46" i="7" s="1"/>
  <c r="D34" i="6"/>
  <c r="E24" i="6"/>
  <c r="D25" i="6"/>
  <c r="E33" i="6"/>
  <c r="E34" i="6" s="1"/>
  <c r="I27" i="4"/>
  <c r="G27" i="4"/>
  <c r="B10" i="7" s="1"/>
  <c r="E27" i="5" l="1"/>
  <c r="D27" i="5"/>
  <c r="F5" i="5"/>
  <c r="F21" i="5" s="1"/>
  <c r="B28" i="5"/>
  <c r="E47" i="7"/>
  <c r="C47" i="7"/>
  <c r="E25" i="6"/>
  <c r="E35" i="6" s="1"/>
  <c r="E36" i="6" s="1"/>
  <c r="D26" i="6"/>
  <c r="D40" i="6" s="1"/>
  <c r="C58" i="7" a="1"/>
  <c r="C58" i="7" s="1"/>
  <c r="E26" i="6"/>
  <c r="D35" i="6"/>
  <c r="E28" i="5" l="1"/>
  <c r="D28" i="5"/>
  <c r="G5" i="5"/>
  <c r="G21" i="5" s="1"/>
  <c r="H5" i="5" s="1"/>
  <c r="B29" i="5"/>
  <c r="D41" i="6"/>
  <c r="C66" i="7" a="1"/>
  <c r="C66" i="7" s="1"/>
  <c r="E29" i="5" l="1"/>
  <c r="D29" i="5"/>
  <c r="H21" i="5"/>
  <c r="E6" i="7"/>
  <c r="B30" i="5"/>
  <c r="E30" i="5" l="1"/>
  <c r="D3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<sst xmlns="http://schemas.openxmlformats.org/spreadsheetml/2006/main" count="327" uniqueCount="220">
  <si>
    <t>VITAFLOW HEALTH — MODEL ASSUMPTIONS</t>
  </si>
  <si>
    <t>All inputs are entered here. Do not hardcode values in other tabs</t>
  </si>
  <si>
    <t>BUSINESS SETTINGS</t>
  </si>
  <si>
    <t>Company Name</t>
  </si>
  <si>
    <t>VitaFlow Health</t>
  </si>
  <si>
    <t>Model Start Date</t>
  </si>
  <si>
    <t>Forecast Horizon (Months)</t>
  </si>
  <si>
    <t>Base Currency</t>
  </si>
  <si>
    <t>USD</t>
  </si>
  <si>
    <t>VAT / Tax Rate</t>
  </si>
  <si>
    <t>SALES ASSUMPTIONS</t>
  </si>
  <si>
    <t>Monthly Growth Rate (Base)</t>
  </si>
  <si>
    <t>Monthly Growth Rate (Best)</t>
  </si>
  <si>
    <t>Monthly Growth Rate (Conservative)</t>
  </si>
  <si>
    <t>Active Scenario</t>
  </si>
  <si>
    <t>Seasonality Boost — Q4 (Oct–Dec)</t>
  </si>
  <si>
    <t>Seasonality Boost — Q1 (Jan–Mar)</t>
  </si>
  <si>
    <t>INVENTORY ASSUMPTIONS</t>
  </si>
  <si>
    <t>Reorder Point (Days of Stock)</t>
  </si>
  <si>
    <t>Average Supplier Lead Time</t>
  </si>
  <si>
    <t>Safety Stock Buffer</t>
  </si>
  <si>
    <t>Stockout Alert Threshold</t>
  </si>
  <si>
    <t>days</t>
  </si>
  <si>
    <t>CASH FLOW ASSUMPTIONS</t>
  </si>
  <si>
    <t>Shopify Payout Delay (Days)</t>
  </si>
  <si>
    <t>Supplier Payment Terms</t>
  </si>
  <si>
    <t>Opening Cash Balance</t>
  </si>
  <si>
    <t>Monthly Operating Expenses</t>
  </si>
  <si>
    <t>Shipping Cost per Order</t>
  </si>
  <si>
    <t>days after sale</t>
  </si>
  <si>
    <t>days net</t>
  </si>
  <si>
    <t>Format as currency</t>
  </si>
  <si>
    <t>SKU REFERENCE TABLE</t>
  </si>
  <si>
    <t>SKU Code</t>
  </si>
  <si>
    <t>Product Name</t>
  </si>
  <si>
    <t>Unit Price (USD)</t>
  </si>
  <si>
    <t>VF-001</t>
  </si>
  <si>
    <t>VF-002</t>
  </si>
  <si>
    <t>VF-003</t>
  </si>
  <si>
    <t>VF-004</t>
  </si>
  <si>
    <t>VF-005</t>
  </si>
  <si>
    <t>Omega-3 Fish Oil 90 caps</t>
  </si>
  <si>
    <t>Magnesium Complex 60 caps</t>
  </si>
  <si>
    <t>Vitamin D3 120 caps</t>
  </si>
  <si>
    <t>Collagen Peptides 500g</t>
  </si>
  <si>
    <t>Probiotic Blend 30 caps</t>
  </si>
  <si>
    <t>VITAFLOW HEALTH — HISTORICAL SALES DATA (JAN–DEC 2024)</t>
  </si>
  <si>
    <t>Units sold per SKU per month. Source: Shopify export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</si>
  <si>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</si>
  <si>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</si>
  <si>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</si>
  <si>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</si>
  <si>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</si>
  <si>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</si>
  <si>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</si>
  <si>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</si>
  <si>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</si>
  <si>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</si>
  <si>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</si>
  <si>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</si>
  <si>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UNITS</t>
  </si>
  <si>
    <t>MONTHLY TOTAL</t>
  </si>
  <si>
    <t>REVENUE BY SKU (USD)</t>
  </si>
  <si>
    <t>TOTAL TOTAL</t>
  </si>
  <si>
    <t>AVERAGE MONTHLY UNITS (for Forecasting)</t>
  </si>
  <si>
    <t>sku Code</t>
  </si>
  <si>
    <t>Avg Monthly Units</t>
  </si>
  <si>
    <t>VITAFLOW HEALTH — INVENTORY TRACKER &amp; PO SCHEDULE</t>
  </si>
  <si>
    <t>Current stock levels, open purchase orders, and reorder alerts as at 01/01/2025</t>
  </si>
  <si>
    <t>CURRENT INVENTORY POSITIONS</t>
  </si>
  <si>
    <t>Unit Cost (USD)</t>
  </si>
  <si>
    <t>Units in Stock</t>
  </si>
  <si>
    <t>Avg Daily Sales</t>
  </si>
  <si>
    <t>Days of Stock Left</t>
  </si>
  <si>
    <t>Reorder Point (Units)</t>
  </si>
  <si>
    <t>Safety Stock (Units)</t>
  </si>
  <si>
    <t>Stock Status</t>
  </si>
  <si>
    <t>OPEN PURCHASE ORDERS (POs)</t>
  </si>
  <si>
    <t xml:space="preserve">PO Number </t>
  </si>
  <si>
    <t xml:space="preserve">SKU Code </t>
  </si>
  <si>
    <t xml:space="preserve">Product Name </t>
  </si>
  <si>
    <t xml:space="preserve">Units Ordered </t>
  </si>
  <si>
    <t xml:space="preserve">Unit Cost (USD) </t>
  </si>
  <si>
    <t xml:space="preserve">Total PO Value </t>
  </si>
  <si>
    <t xml:space="preserve">Order Date </t>
  </si>
  <si>
    <t xml:space="preserve">Expected Landing Date </t>
  </si>
  <si>
    <t xml:space="preserve">Days Until Landing </t>
  </si>
  <si>
    <t xml:space="preserve">Payment Due Date </t>
  </si>
  <si>
    <t xml:space="preserve">Payment Status </t>
  </si>
  <si>
    <t>Notes</t>
  </si>
  <si>
    <t>PO-2025-001</t>
  </si>
  <si>
    <t>PO-2025-002</t>
  </si>
  <si>
    <t>PO-2025-003</t>
  </si>
  <si>
    <t>PO-2025-004</t>
  </si>
  <si>
    <t>PO-2025-005</t>
  </si>
  <si>
    <t>PO-2025-006</t>
  </si>
  <si>
    <t>PO-2025-007</t>
  </si>
  <si>
    <t>Paid</t>
  </si>
  <si>
    <t>Pending</t>
  </si>
  <si>
    <t>Seasonal stock</t>
  </si>
  <si>
    <t>Low stock top-up</t>
  </si>
  <si>
    <t>Reorder trigered</t>
  </si>
  <si>
    <t>Monthly reorder</t>
  </si>
  <si>
    <t>Growth stock</t>
  </si>
  <si>
    <t>Q1 forecast</t>
  </si>
  <si>
    <t>TOTAL OPEN PO VALUE</t>
  </si>
  <si>
    <t>INVENTORY VALUATION SUMMARY</t>
  </si>
  <si>
    <t>Unit Cost</t>
  </si>
  <si>
    <t>Stock Value (USD)</t>
  </si>
  <si>
    <t>Incoming PO Units</t>
  </si>
  <si>
    <t>TOTAL</t>
  </si>
  <si>
    <t>VITAFLOW HEALTH — DEMAND FORECAST (JAN–JUN 2025)</t>
  </si>
  <si>
    <t>Projected sales demand by SKU using historical averages, growth rates and seasonality from ASSUMPTIONS tab.</t>
  </si>
  <si>
    <t>ACTIVE SCENARIO CONTROLS</t>
  </si>
  <si>
    <t>Active Scenario:</t>
  </si>
  <si>
    <t>(formula below)</t>
  </si>
  <si>
    <t>Growth Rate Applied:</t>
  </si>
  <si>
    <t>SKU-LEVEL MONTHLY DEMAND FORECAST (UNITS</t>
  </si>
  <si>
    <t>Total Units</t>
  </si>
  <si>
    <t>Total Revenue</t>
  </si>
  <si>
    <t>SEASONALITY HELPER</t>
  </si>
  <si>
    <t>Month</t>
  </si>
  <si>
    <t>Season Adjustment</t>
  </si>
  <si>
    <t>STOCKOUT RISK ANALYSIS</t>
  </si>
  <si>
    <t>Current Stock</t>
  </si>
  <si>
    <t>Forecast Demand (6 Months)</t>
  </si>
  <si>
    <t>Projected Closing Stock</t>
  </si>
  <si>
    <t>Stockout Risk?</t>
  </si>
  <si>
    <t>Action Required</t>
  </si>
  <si>
    <t>Best</t>
  </si>
  <si>
    <t>VITAFLOW HEALTH — CASH FLOW FORECAST (JAN–JUN 2025)</t>
  </si>
  <si>
    <t>Monthly cash inflows and outflows. All values in USD. Linked to ASSUMPTIONS, INVENTORY and DEMAND FORECAST tabs</t>
  </si>
  <si>
    <t>CASH FLOW ITEMS</t>
  </si>
  <si>
    <t>OPENING CASH BALANCE</t>
  </si>
  <si>
    <t>CASH INFLOWS</t>
  </si>
  <si>
    <t>Shopify Sales Revenue (payout adjusted)</t>
  </si>
  <si>
    <t>Other Income (refunds recovered, misc)</t>
  </si>
  <si>
    <t>TOTAL CASH INFLOWS</t>
  </si>
  <si>
    <t>CASH OUTFLOWS</t>
  </si>
  <si>
    <t>Inventory / Supplier Payments (PO settlements)</t>
  </si>
  <si>
    <t>Shipping &amp; Fulfilment Costs</t>
  </si>
  <si>
    <t>Marketing &amp; Advertising</t>
  </si>
  <si>
    <t>Platform &amp; Software Fees (Shopify, tools)</t>
  </si>
  <si>
    <t>TOTAL CASH OUTFLOWS</t>
  </si>
  <si>
    <t>NET CASH FLOW (Inflows minus Outflows)</t>
  </si>
  <si>
    <t>CLOSING CASH BALANCE</t>
  </si>
  <si>
    <t>CASH CONSTRAINT ALERTS</t>
  </si>
  <si>
    <t>Closing Balance</t>
  </si>
  <si>
    <t>Min Safe Balance</t>
  </si>
  <si>
    <t>Variance</t>
  </si>
  <si>
    <t>Alert</t>
  </si>
  <si>
    <t>VITAFLOW HEALTH — SCENARIO ANALYSIS MODEL</t>
  </si>
  <si>
    <t>Compare Best, Base and Conservative scenarios side by side. Change ASSUMPTIONS!B15 to switch active scenario across all tabs</t>
  </si>
  <si>
    <t>SCENARIO ASSUMPTION INPUTS</t>
  </si>
  <si>
    <t>Assumption</t>
  </si>
  <si>
    <t>Conservative</t>
  </si>
  <si>
    <t>Base</t>
  </si>
  <si>
    <t>Active (Live)</t>
  </si>
  <si>
    <t>Monthly Revenue Growth Rate</t>
  </si>
  <si>
    <t>Q4 Seasonality Boost</t>
  </si>
  <si>
    <t>Q1 Seasonality Impact</t>
  </si>
  <si>
    <t>Supplier Payment Terms (Days)</t>
  </si>
  <si>
    <t>Inventory Lead Time (Days)</t>
  </si>
  <si>
    <t>SCENARIO SWITCHER</t>
  </si>
  <si>
    <t>Currently Active Scenario:</t>
  </si>
  <si>
    <t>To switch: go to ASSUMPTIONS tab → change cell B15</t>
  </si>
  <si>
    <t>Scenario Status:</t>
  </si>
  <si>
    <t>REVENUE FORECAST — ALL SCENARIOS (USD)</t>
  </si>
  <si>
    <t>6-MONTH TOTAL</t>
  </si>
  <si>
    <t>CLOSING CASH BALANCE — ALL SCENARIOS</t>
  </si>
  <si>
    <t>Variance (Best vs Conservative)</t>
  </si>
  <si>
    <t>BEST vs CONSERVATIVE GAP</t>
  </si>
  <si>
    <t>SCENARIO SUMMARY CARD</t>
  </si>
  <si>
    <t>Metric</t>
  </si>
  <si>
    <t>6-Month Revenue</t>
  </si>
  <si>
    <t>Jun Closing Cash</t>
  </si>
  <si>
    <t>Growth Rate Applied</t>
  </si>
  <si>
    <t>Opex Assumption</t>
  </si>
  <si>
    <t>VITAFLOW HEALTH — FINANCIAL &amp; INVENTORY INTELLIGENCE DASHBOARD</t>
  </si>
  <si>
    <t>Forecast Period: Jan–Jun 2025  |  Base Currency: USD  |  Scenario:</t>
  </si>
  <si>
    <t>6-MONTH REVENUE</t>
  </si>
  <si>
    <t>CLOSING CASH (JUN)</t>
  </si>
  <si>
    <t>TOTAL UNITS FORECAST</t>
  </si>
  <si>
    <t>OPEN PO VALUE</t>
  </si>
  <si>
    <t>Jan–Jun 2025 (Active Scenario)</t>
  </si>
  <si>
    <t>End of Forecast Period</t>
  </si>
  <si>
    <t>Across All 5 SKUs</t>
  </si>
  <si>
    <t>Across 7 Open POs</t>
  </si>
  <si>
    <t>STOCKOUT ALERTS</t>
  </si>
  <si>
    <t>SKUs at Risk</t>
  </si>
  <si>
    <t>CHART DATA — DO NOT EDIT</t>
  </si>
  <si>
    <t>Conservative Cash</t>
  </si>
  <si>
    <t>Base Cash</t>
  </si>
  <si>
    <t>Best Cash</t>
  </si>
  <si>
    <t>SKU PERFORMANCE SUMMARY</t>
  </si>
  <si>
    <t>SKU</t>
  </si>
  <si>
    <t>Product</t>
  </si>
  <si>
    <t>2024 Total Units</t>
  </si>
  <si>
    <t>2024 Revenue</t>
  </si>
  <si>
    <t>Forecast Units (6M)</t>
  </si>
  <si>
    <t>Forecast Revenue</t>
  </si>
  <si>
    <t>Days of Stock</t>
  </si>
  <si>
    <t>Avg Unit Price</t>
  </si>
  <si>
    <t>Gross Margin %</t>
  </si>
  <si>
    <t>INVENTORY BAR CHART</t>
  </si>
  <si>
    <t>Reorder Point</t>
  </si>
  <si>
    <t>CASH FLOW SUMMARY</t>
  </si>
  <si>
    <t>Inflows</t>
  </si>
  <si>
    <t>Outflows</t>
  </si>
  <si>
    <t>Net Flow</t>
  </si>
  <si>
    <t>Totals</t>
  </si>
  <si>
    <t>ACTIVE ASSUMPTIONS SNAPSHOT</t>
  </si>
  <si>
    <t>Growth Rate</t>
  </si>
  <si>
    <t>Opening Cash</t>
  </si>
  <si>
    <t>Monthly Opex</t>
  </si>
  <si>
    <t>Last Updated:</t>
  </si>
  <si>
    <t>percent</t>
  </si>
  <si>
    <t>TOTAL FORECAST REVENUE (USD)</t>
  </si>
  <si>
    <t>Shopify Transaction Fee Rate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</si>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</sst>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&quot;$&quot;#,##0.00"/>
    <numFmt numFmtId="168" formatCode="&quot;$&quot;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1F4E79"/>
      <name val="Calibri"/>
      <family val="2"/>
      <scheme val="minor"/>
    </font>
    <font>
      <i/>
      <sz val="11"/>
      <color rgb="FF1F4E79"/>
      <name val="Calibri"/>
      <family val="2"/>
      <scheme val="minor"/>
    </font>
    <font>
      <b/>
      <sz val="11"/>
      <color rgb="FFD6E4F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4"/>
      <color rgb="FFE8F4FD"/>
      <name val="Calibri"/>
      <family val="2"/>
      <scheme val="minor"/>
    </font>
    <font>
      <b/>
      <sz val="11"/>
      <color rgb="FFE8F4F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1F4E7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E8F4FD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9"/>
      <color rgb="FF999999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8"/>
      <color rgb="FF2E75B6"/>
      <name val="Calibri"/>
      <family val="2"/>
      <scheme val="minor"/>
    </font>
    <font>
      <b/>
      <sz val="18"/>
      <color rgb="FF1E8449"/>
      <name val="Calibri"/>
      <family val="2"/>
      <scheme val="minor"/>
    </font>
    <font>
      <b/>
      <sz val="18"/>
      <color rgb="FF7030A0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11"/>
      <color rgb="FF66666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ADA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2CC"/>
      </left>
      <right style="thick">
        <color rgb="FFFFF2CC"/>
      </right>
      <top style="thin">
        <color indexed="64"/>
      </top>
      <bottom style="thick">
        <color rgb="FFFFF2CC"/>
      </bottom>
      <diagonal/>
    </border>
    <border>
      <left/>
      <right style="thick">
        <color rgb="FFFFF0F0"/>
      </right>
      <top/>
      <bottom/>
      <diagonal/>
    </border>
    <border>
      <left style="thick">
        <color rgb="FFFFF0F0"/>
      </left>
      <right/>
      <top/>
      <bottom style="thick">
        <color rgb="FFFFF0F0"/>
      </bottom>
      <diagonal/>
    </border>
    <border>
      <left/>
      <right/>
      <top/>
      <bottom style="thick">
        <color rgb="FFFFF0F0"/>
      </bottom>
      <diagonal/>
    </border>
    <border>
      <left style="thick">
        <color rgb="FFFFF0F0"/>
      </left>
      <right/>
      <top/>
      <bottom/>
      <diagonal/>
    </border>
    <border>
      <left/>
      <right style="thick">
        <color rgb="FFFFF0F0"/>
      </right>
      <top/>
      <bottom style="thick">
        <color rgb="FFFFF0F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8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1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9" fillId="3" borderId="4" xfId="0" applyFont="1" applyFill="1" applyBorder="1"/>
    <xf numFmtId="0" fontId="9" fillId="3" borderId="0" xfId="0" applyFont="1" applyFill="1"/>
    <xf numFmtId="0" fontId="9" fillId="3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10" xfId="0" applyBorder="1" applyAlignment="1">
      <alignment horizontal="left"/>
    </xf>
    <xf numFmtId="0" fontId="0" fillId="0" borderId="11" xfId="0" applyBorder="1"/>
    <xf numFmtId="6" fontId="0" fillId="0" borderId="10" xfId="0" applyNumberFormat="1" applyBorder="1" applyAlignment="1">
      <alignment horizontal="left"/>
    </xf>
    <xf numFmtId="8" fontId="0" fillId="0" borderId="10" xfId="0" applyNumberFormat="1" applyBorder="1" applyAlignment="1">
      <alignment horizontal="left"/>
    </xf>
    <xf numFmtId="9" fontId="0" fillId="0" borderId="7" xfId="0" applyNumberFormat="1" applyBorder="1" applyAlignment="1">
      <alignment horizontal="left"/>
    </xf>
    <xf numFmtId="9" fontId="0" fillId="0" borderId="10" xfId="0" applyNumberFormat="1" applyBorder="1" applyAlignment="1">
      <alignment horizontal="left"/>
    </xf>
    <xf numFmtId="0" fontId="6" fillId="3" borderId="0" xfId="0" applyFont="1" applyFill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1" fontId="0" fillId="0" borderId="0" xfId="0" applyNumberFormat="1" applyAlignment="1">
      <alignment horizontal="center"/>
    </xf>
    <xf numFmtId="0" fontId="3" fillId="3" borderId="3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44" fontId="0" fillId="0" borderId="2" xfId="1" applyFont="1" applyBorder="1"/>
    <xf numFmtId="44" fontId="0" fillId="0" borderId="3" xfId="1" applyFont="1" applyBorder="1"/>
    <xf numFmtId="44" fontId="0" fillId="0" borderId="5" xfId="1" applyFont="1" applyBorder="1"/>
    <xf numFmtId="44" fontId="6" fillId="3" borderId="7" xfId="1" applyFont="1" applyFill="1" applyBorder="1"/>
    <xf numFmtId="44" fontId="6" fillId="3" borderId="8" xfId="1" applyFont="1" applyFill="1" applyBorder="1"/>
    <xf numFmtId="2" fontId="0" fillId="0" borderId="0" xfId="0" applyNumberFormat="1"/>
    <xf numFmtId="1" fontId="0" fillId="0" borderId="0" xfId="0" applyNumberFormat="1"/>
    <xf numFmtId="0" fontId="3" fillId="0" borderId="0" xfId="0" applyFont="1" applyAlignment="1">
      <alignment horizontal="center"/>
    </xf>
    <xf numFmtId="2" fontId="0" fillId="0" borderId="7" xfId="0" applyNumberFormat="1" applyBorder="1"/>
    <xf numFmtId="1" fontId="0" fillId="0" borderId="7" xfId="0" applyNumberFormat="1" applyBorder="1"/>
    <xf numFmtId="0" fontId="3" fillId="0" borderId="7" xfId="0" applyFont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165" fontId="0" fillId="0" borderId="0" xfId="2" applyNumberFormat="1" applyFont="1" applyBorder="1"/>
    <xf numFmtId="14" fontId="0" fillId="0" borderId="0" xfId="0" applyNumberFormat="1"/>
    <xf numFmtId="44" fontId="0" fillId="0" borderId="0" xfId="0" applyNumberFormat="1"/>
    <xf numFmtId="44" fontId="3" fillId="3" borderId="7" xfId="0" applyNumberFormat="1" applyFont="1" applyFill="1" applyBorder="1"/>
    <xf numFmtId="0" fontId="3" fillId="3" borderId="8" xfId="0" applyFont="1" applyFill="1" applyBorder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4" borderId="0" xfId="0" applyFill="1"/>
    <xf numFmtId="0" fontId="9" fillId="4" borderId="0" xfId="0" applyFont="1" applyFill="1"/>
    <xf numFmtId="0" fontId="14" fillId="4" borderId="0" xfId="0" applyFont="1" applyFill="1"/>
    <xf numFmtId="166" fontId="9" fillId="4" borderId="0" xfId="3" applyNumberFormat="1" applyFont="1" applyFill="1"/>
    <xf numFmtId="17" fontId="0" fillId="0" borderId="0" xfId="0" applyNumberFormat="1"/>
    <xf numFmtId="0" fontId="11" fillId="2" borderId="0" xfId="0" applyFont="1" applyFill="1"/>
    <xf numFmtId="0" fontId="6" fillId="3" borderId="0" xfId="0" applyFont="1" applyFill="1" applyAlignment="1">
      <alignment horizontal="center"/>
    </xf>
    <xf numFmtId="0" fontId="6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17" fontId="9" fillId="3" borderId="0" xfId="0" applyNumberFormat="1" applyFont="1" applyFill="1" applyAlignment="1">
      <alignment horizontal="center"/>
    </xf>
    <xf numFmtId="1" fontId="3" fillId="4" borderId="0" xfId="0" applyNumberFormat="1" applyFont="1" applyFill="1"/>
    <xf numFmtId="2" fontId="3" fillId="4" borderId="5" xfId="0" applyNumberFormat="1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7" xfId="0" applyFont="1" applyFill="1" applyBorder="1" applyAlignment="1">
      <alignment horizontal="center"/>
    </xf>
    <xf numFmtId="17" fontId="4" fillId="2" borderId="0" xfId="0" applyNumberFormat="1" applyFont="1" applyFill="1" applyAlignment="1">
      <alignment horizontal="center"/>
    </xf>
    <xf numFmtId="0" fontId="9" fillId="0" borderId="0" xfId="0" applyFont="1"/>
    <xf numFmtId="6" fontId="0" fillId="0" borderId="0" xfId="0" applyNumberFormat="1"/>
    <xf numFmtId="167" fontId="0" fillId="0" borderId="0" xfId="0" applyNumberFormat="1"/>
    <xf numFmtId="167" fontId="3" fillId="4" borderId="0" xfId="0" applyNumberFormat="1" applyFont="1" applyFill="1"/>
    <xf numFmtId="0" fontId="3" fillId="6" borderId="0" xfId="0" applyFont="1" applyFill="1"/>
    <xf numFmtId="167" fontId="3" fillId="7" borderId="0" xfId="0" applyNumberFormat="1" applyFont="1" applyFill="1"/>
    <xf numFmtId="167" fontId="0" fillId="0" borderId="0" xfId="1" applyNumberFormat="1" applyFont="1"/>
    <xf numFmtId="0" fontId="16" fillId="0" borderId="0" xfId="0" applyFont="1"/>
    <xf numFmtId="167" fontId="3" fillId="8" borderId="0" xfId="0" applyNumberFormat="1" applyFont="1" applyFill="1"/>
    <xf numFmtId="9" fontId="0" fillId="0" borderId="0" xfId="3" applyFont="1" applyAlignment="1">
      <alignment horizontal="center"/>
    </xf>
    <xf numFmtId="167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8" fillId="0" borderId="12" xfId="0" applyFont="1" applyBorder="1"/>
    <xf numFmtId="0" fontId="0" fillId="0" borderId="3" xfId="0" applyBorder="1"/>
    <xf numFmtId="0" fontId="9" fillId="4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19" fillId="9" borderId="0" xfId="0" applyFont="1" applyFill="1"/>
    <xf numFmtId="0" fontId="9" fillId="4" borderId="0" xfId="0" applyFont="1" applyFill="1" applyAlignment="1">
      <alignment horizontal="left"/>
    </xf>
    <xf numFmtId="8" fontId="3" fillId="10" borderId="0" xfId="0" applyNumberFormat="1" applyFont="1" applyFill="1"/>
    <xf numFmtId="0" fontId="6" fillId="4" borderId="0" xfId="0" applyFont="1" applyFill="1" applyAlignment="1">
      <alignment horizontal="center"/>
    </xf>
    <xf numFmtId="0" fontId="0" fillId="11" borderId="0" xfId="0" applyFill="1"/>
    <xf numFmtId="8" fontId="0" fillId="11" borderId="0" xfId="0" applyNumberFormat="1" applyFill="1"/>
    <xf numFmtId="9" fontId="0" fillId="11" borderId="0" xfId="0" applyNumberFormat="1" applyFill="1"/>
    <xf numFmtId="167" fontId="0" fillId="11" borderId="0" xfId="0" applyNumberFormat="1" applyFill="1"/>
    <xf numFmtId="0" fontId="0" fillId="12" borderId="0" xfId="0" applyFill="1"/>
    <xf numFmtId="8" fontId="0" fillId="12" borderId="0" xfId="0" applyNumberFormat="1" applyFill="1"/>
    <xf numFmtId="9" fontId="0" fillId="12" borderId="0" xfId="0" applyNumberFormat="1" applyFill="1"/>
    <xf numFmtId="167" fontId="0" fillId="12" borderId="0" xfId="0" applyNumberFormat="1" applyFill="1"/>
    <xf numFmtId="0" fontId="0" fillId="13" borderId="0" xfId="0" applyFill="1"/>
    <xf numFmtId="8" fontId="0" fillId="13" borderId="0" xfId="0" applyNumberFormat="1" applyFill="1"/>
    <xf numFmtId="9" fontId="0" fillId="13" borderId="0" xfId="0" applyNumberFormat="1" applyFill="1"/>
    <xf numFmtId="167" fontId="0" fillId="13" borderId="0" xfId="0" applyNumberFormat="1" applyFill="1"/>
    <xf numFmtId="167" fontId="0" fillId="0" borderId="0" xfId="1" applyNumberFormat="1" applyFont="1" applyBorder="1"/>
    <xf numFmtId="167" fontId="0" fillId="0" borderId="7" xfId="1" applyNumberFormat="1" applyFont="1" applyBorder="1"/>
    <xf numFmtId="0" fontId="0" fillId="0" borderId="0" xfId="0" applyProtection="1">
      <protection locked="0"/>
    </xf>
    <xf numFmtId="0" fontId="2" fillId="14" borderId="0" xfId="0" applyFont="1" applyFill="1" applyAlignment="1" applyProtection="1">
      <alignment horizontal="center"/>
      <protection locked="0"/>
    </xf>
    <xf numFmtId="0" fontId="21" fillId="14" borderId="0" xfId="0" applyFont="1" applyFill="1" applyProtection="1">
      <protection locked="0"/>
    </xf>
    <xf numFmtId="14" fontId="30" fillId="0" borderId="0" xfId="0" applyNumberFormat="1" applyFont="1" applyProtection="1">
      <protection locked="0"/>
    </xf>
    <xf numFmtId="0" fontId="27" fillId="0" borderId="0" xfId="0" applyFont="1" applyProtection="1">
      <protection locked="0"/>
    </xf>
    <xf numFmtId="0" fontId="0" fillId="0" borderId="15" xfId="0" applyBorder="1" applyProtection="1">
      <protection locked="0"/>
    </xf>
    <xf numFmtId="0" fontId="0" fillId="0" borderId="13" xfId="0" applyBorder="1" applyProtection="1">
      <protection locked="0"/>
    </xf>
    <xf numFmtId="0" fontId="29" fillId="3" borderId="0" xfId="0" applyFont="1" applyFill="1" applyAlignment="1">
      <alignment horizontal="center"/>
    </xf>
    <xf numFmtId="166" fontId="0" fillId="0" borderId="0" xfId="3" applyNumberFormat="1" applyFont="1" applyProtection="1"/>
    <xf numFmtId="164" fontId="3" fillId="3" borderId="0" xfId="0" applyNumberFormat="1" applyFont="1" applyFill="1"/>
    <xf numFmtId="167" fontId="3" fillId="3" borderId="0" xfId="0" applyNumberFormat="1" applyFont="1" applyFill="1"/>
    <xf numFmtId="1" fontId="3" fillId="3" borderId="0" xfId="0" applyNumberFormat="1" applyFont="1" applyFill="1"/>
    <xf numFmtId="9" fontId="0" fillId="0" borderId="0" xfId="0" applyNumberFormat="1" applyAlignment="1">
      <alignment horizontal="center"/>
    </xf>
    <xf numFmtId="0" fontId="4" fillId="0" borderId="0" xfId="0" applyFont="1"/>
    <xf numFmtId="8" fontId="0" fillId="0" borderId="8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7" fontId="13" fillId="3" borderId="7" xfId="1" applyNumberFormat="1" applyFont="1" applyFill="1" applyBorder="1"/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166" fontId="0" fillId="0" borderId="0" xfId="3" applyNumberFormat="1" applyFont="1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4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7" fillId="2" borderId="0" xfId="0" applyFont="1" applyFill="1" applyAlignment="1">
      <alignment horizontal="center"/>
    </xf>
    <xf numFmtId="0" fontId="20" fillId="2" borderId="0" xfId="0" applyFont="1" applyFill="1" applyAlignment="1" applyProtection="1">
      <alignment horizontal="center"/>
      <protection locked="0"/>
    </xf>
    <xf numFmtId="0" fontId="21" fillId="14" borderId="0" xfId="0" applyFont="1" applyFill="1" applyAlignment="1" applyProtection="1">
      <alignment horizontal="center"/>
      <protection locked="0"/>
    </xf>
    <xf numFmtId="0" fontId="22" fillId="2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168" fontId="23" fillId="0" borderId="0" xfId="0" applyNumberFormat="1" applyFont="1" applyAlignment="1">
      <alignment horizontal="center" vertical="center"/>
    </xf>
    <xf numFmtId="0" fontId="22" fillId="6" borderId="0" xfId="0" applyFont="1" applyFill="1" applyAlignment="1">
      <alignment horizontal="center"/>
    </xf>
    <xf numFmtId="168" fontId="25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8" fontId="26" fillId="0" borderId="0" xfId="0" applyNumberFormat="1" applyFont="1" applyAlignment="1">
      <alignment horizontal="center" vertical="center"/>
    </xf>
    <xf numFmtId="0" fontId="22" fillId="15" borderId="0" xfId="0" applyFont="1" applyFill="1" applyAlignment="1">
      <alignment horizontal="center"/>
    </xf>
    <xf numFmtId="0" fontId="27" fillId="0" borderId="14" xfId="0" applyFont="1" applyBorder="1" applyAlignment="1" applyProtection="1">
      <alignment horizontal="center"/>
      <protection locked="0"/>
    </xf>
    <xf numFmtId="0" fontId="27" fillId="0" borderId="17" xfId="0" applyFont="1" applyBorder="1" applyAlignment="1" applyProtection="1">
      <alignment horizontal="center"/>
      <protection locked="0"/>
    </xf>
    <xf numFmtId="0" fontId="19" fillId="9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7" fillId="0" borderId="0" xfId="0" applyFont="1" applyAlignment="1" applyProtection="1">
      <alignment horizontal="center"/>
      <protection locked="0"/>
    </xf>
    <xf numFmtId="0" fontId="22" fillId="5" borderId="16" xfId="0" applyFont="1" applyFill="1" applyBorder="1" applyAlignment="1" applyProtection="1">
      <alignment horizontal="center"/>
      <protection locked="0"/>
    </xf>
    <xf numFmtId="0" fontId="22" fillId="5" borderId="13" xfId="0" applyFont="1" applyFill="1" applyBorder="1" applyAlignment="1" applyProtection="1">
      <alignment horizontal="center"/>
      <protection locked="0"/>
    </xf>
    <xf numFmtId="0" fontId="28" fillId="0" borderId="16" xfId="0" applyFont="1" applyBorder="1" applyAlignment="1" applyProtection="1">
      <alignment horizontal="center" vertical="center"/>
      <protection locked="0"/>
    </xf>
    <xf numFmtId="0" fontId="28" fillId="0" borderId="13" xfId="0" applyFont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left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0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1E844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b/>
        <i val="0"/>
      </font>
      <fill>
        <patternFill>
          <bgColor rgb="FF1E8449"/>
        </patternFill>
      </fill>
    </dxf>
    <dxf>
      <font>
        <b/>
        <i val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D6E4F0"/>
      <color rgb="FF666666"/>
      <color rgb="FF2E75B6"/>
      <color rgb="FF1E8449"/>
      <color rgb="FFC00000"/>
      <color rgb="FF1F4E79"/>
      <color rgb="FF999999"/>
      <color rgb="FFF2F2F2"/>
      <color rgb="FFFFF0F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Monthly Revenue Forecast by Scenario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DASHBOARD!$B$57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DASHBOARD!$A$58:$A$63</c:f>
              <c:numCache>
                <c:formatCode>General</c:formatCode>
                <c:ptCount val="6"/>
              </c:numCache>
            </c:numRef>
          </c:cat>
          <c:val>
            <c:numRef>
              <c:f>DASHBOARD!$B$58:$B$63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D-4508-A0AF-8C7E3EF797F5}"/>
            </c:ext>
          </c:extLst>
        </c:ser>
        <c:ser>
          <c:idx val="1"/>
          <c:order val="1"/>
          <c:tx>
            <c:strRef>
              <c:f>DASHBOARD!$C$57</c:f>
              <c:strCache>
                <c:ptCount val="1"/>
                <c:pt idx="0">
                  <c:v>Conservative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DASHBOARD!$A$58:$A$63</c:f>
              <c:numCache>
                <c:formatCode>General</c:formatCode>
                <c:ptCount val="6"/>
              </c:numCache>
            </c:numRef>
          </c:cat>
          <c:val>
            <c:numRef>
              <c:f>DASHBOARD!$C$58:$C$63</c:f>
              <c:numCache>
                <c:formatCode>General</c:formatCode>
                <c:ptCount val="6"/>
                <c:pt idx="0">
                  <c:v>30533.11</c:v>
                </c:pt>
                <c:pt idx="1">
                  <c:v>31143.77</c:v>
                </c:pt>
                <c:pt idx="2">
                  <c:v>31766.65</c:v>
                </c:pt>
                <c:pt idx="3">
                  <c:v>32401.98</c:v>
                </c:pt>
                <c:pt idx="4">
                  <c:v>33050.019999999997</c:v>
                </c:pt>
                <c:pt idx="5">
                  <c:v>33711.019999999997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D-4508-A0AF-8C7E3EF797F5}"/>
            </c:ext>
          </c:extLst>
        </c:ser>
        <c:ser>
          <c:idx val="2"/>
          <c:order val="2"/>
          <c:tx>
            <c:strRef>
              <c:f>DASHBOARD!$D$57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2E75B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DASHBOARD!$A$58:$A$63</c:f>
              <c:numCache>
                <c:formatCode>General</c:formatCode>
                <c:ptCount val="6"/>
              </c:numCache>
            </c:numRef>
          </c:cat>
          <c:val>
            <c:numRef>
              <c:f>DASHBOARD!$D$58:$D$63</c:f>
              <c:numCache>
                <c:formatCode>General</c:formatCode>
                <c:ptCount val="6"/>
                <c:pt idx="0">
                  <c:v>33280.03</c:v>
                </c:pt>
                <c:pt idx="1">
                  <c:v>34944.03</c:v>
                </c:pt>
                <c:pt idx="2">
                  <c:v>36691.230000000003</c:v>
                </c:pt>
                <c:pt idx="3">
                  <c:v>38525.79</c:v>
                </c:pt>
                <c:pt idx="4">
                  <c:v>40452.080000000002</c:v>
                </c:pt>
                <c:pt idx="5">
                  <c:v>42474.68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D-4508-A0AF-8C7E3EF797F5}"/>
            </c:ext>
          </c:extLst>
        </c:ser>
        <c:ser>
          <c:idx val="3"/>
          <c:order val="3"/>
          <c:tx>
            <c:strRef>
              <c:f>DASHBOARD!$E$57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rgbClr val="1E844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DASHBOARD!$A$58:$A$63</c:f>
              <c:numCache>
                <c:formatCode>General</c:formatCode>
                <c:ptCount val="6"/>
              </c:numCache>
            </c:numRef>
          </c:cat>
          <c:val>
            <c:numRef>
              <c:f>DASHBOARD!$E$58:$E$63</c:f>
              <c:numCache>
                <c:formatCode>General</c:formatCode>
                <c:ptCount val="6"/>
                <c:pt idx="0">
                  <c:v>36801.730000000003</c:v>
                </c:pt>
                <c:pt idx="1">
                  <c:v>40481.9</c:v>
                </c:pt>
                <c:pt idx="2">
                  <c:v>44530.09</c:v>
                </c:pt>
                <c:pt idx="3">
                  <c:v>48983.1</c:v>
                </c:pt>
                <c:pt idx="4">
                  <c:v>53881.41</c:v>
                </c:pt>
                <c:pt idx="5">
                  <c:v>59269.55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CD-4508-A0AF-8C7E3EF79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20335"/>
        <c:axId val="170410735"/>
      </c:lineChart>
      <c:catAx>
        <c:axId val="17042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0735"/>
        <c:crosses val="autoZero"/>
        <c:auto val="1"/>
        <c:lblAlgn val="ctr"/>
        <c:lblOffset val="100"/>
        <c:noMultiLvlLbl val="0"/>
      </c:catAx>
      <c:valAx>
        <c:axId val="17041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2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Monthly Closing Cash Balance by Scenario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DASHBOARD!$B$65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DASHBOARD!$A$66:$A$71</c:f>
              <c:numCache>
                <c:formatCode>General</c:formatCode>
                <c:ptCount val="6"/>
              </c:numCache>
            </c:numRef>
          </c:cat>
          <c:val>
            <c:numRef>
              <c:f>DASHBOARD!$B$66:$B$71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A-45DA-94C5-06AD5979CB9C}"/>
            </c:ext>
          </c:extLst>
        </c:ser>
        <c:ser>
          <c:idx val="1"/>
          <c:order val="1"/>
          <c:tx>
            <c:strRef>
              <c:f>DASHBOARD!$C$65</c:f>
              <c:strCache>
                <c:ptCount val="1"/>
                <c:pt idx="0">
                  <c:v>Conservative Cash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DASHBOARD!$A$66:$A$71</c:f>
              <c:numCache>
                <c:formatCode>General</c:formatCode>
                <c:ptCount val="6"/>
              </c:numCache>
            </c:numRef>
          </c:cat>
          <c:val>
            <c:numRef>
              <c:f>DASHBOARD!$C$66:$C$71</c:f>
              <c:numCache>
                <c:formatCode>General</c:formatCode>
                <c:ptCount val="6"/>
                <c:pt idx="0" formatCode="&quot;$&quot;#,##0.00_);[Red]\(&quot;$&quot;#,##0.00\)">
                  <c:v>43163.11</c:v>
                </c:pt>
                <c:pt idx="1">
                  <c:v>36936.880000000005</c:v>
                </c:pt>
                <c:pt idx="2">
                  <c:v>31333.53</c:v>
                </c:pt>
                <c:pt idx="3">
                  <c:v>26365.509999999995</c:v>
                </c:pt>
                <c:pt idx="4">
                  <c:v>22045.529999999992</c:v>
                </c:pt>
                <c:pt idx="5">
                  <c:v>18386.549999999988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A-45DA-94C5-06AD5979CB9C}"/>
            </c:ext>
          </c:extLst>
        </c:ser>
        <c:ser>
          <c:idx val="2"/>
          <c:order val="2"/>
          <c:tx>
            <c:strRef>
              <c:f>DASHBOARD!$D$65</c:f>
              <c:strCache>
                <c:ptCount val="1"/>
                <c:pt idx="0">
                  <c:v>Base Cash</c:v>
                </c:pt>
              </c:strCache>
            </c:strRef>
          </c:tx>
          <c:spPr>
            <a:ln w="28575" cap="rnd">
              <a:solidFill>
                <a:srgbClr val="2E75B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DASHBOARD!$A$66:$A$71</c:f>
              <c:numCache>
                <c:formatCode>General</c:formatCode>
                <c:ptCount val="6"/>
              </c:numCache>
            </c:numRef>
          </c:cat>
          <c:val>
            <c:numRef>
              <c:f>DASHBOARD!$D$66:$D$71</c:f>
              <c:numCache>
                <c:formatCode>General</c:formatCode>
                <c:ptCount val="6"/>
                <c:pt idx="0">
                  <c:v>47410.03</c:v>
                </c:pt>
                <c:pt idx="1">
                  <c:v>45984.06</c:v>
                </c:pt>
                <c:pt idx="2">
                  <c:v>46305.290000000008</c:v>
                </c:pt>
                <c:pt idx="3">
                  <c:v>48461.080000000016</c:v>
                </c:pt>
                <c:pt idx="4">
                  <c:v>52543.160000000018</c:v>
                </c:pt>
                <c:pt idx="5">
                  <c:v>58647.840000000026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EA-45DA-94C5-06AD5979CB9C}"/>
            </c:ext>
          </c:extLst>
        </c:ser>
        <c:ser>
          <c:idx val="3"/>
          <c:order val="3"/>
          <c:tx>
            <c:strRef>
              <c:f>DASHBOARD!$E$65</c:f>
              <c:strCache>
                <c:ptCount val="1"/>
                <c:pt idx="0">
                  <c:v>Best Cash</c:v>
                </c:pt>
              </c:strCache>
            </c:strRef>
          </c:tx>
          <c:spPr>
            <a:ln w="28575" cap="rnd">
              <a:solidFill>
                <a:srgbClr val="1E844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DASHBOARD!$A$66:$A$71</c:f>
              <c:numCache>
                <c:formatCode>General</c:formatCode>
                <c:ptCount val="6"/>
              </c:numCache>
            </c:numRef>
          </c:cat>
          <c:val>
            <c:numRef>
              <c:f>DASHBOARD!$E$66:$E$71</c:f>
              <c:numCache>
                <c:formatCode>General</c:formatCode>
                <c:ptCount val="6"/>
                <c:pt idx="0">
                  <c:v>50931.73000000001</c:v>
                </c:pt>
                <c:pt idx="1">
                  <c:v>55543.630000000005</c:v>
                </c:pt>
                <c:pt idx="2">
                  <c:v>64203.72</c:v>
                </c:pt>
                <c:pt idx="3">
                  <c:v>77316.820000000007</c:v>
                </c:pt>
                <c:pt idx="4">
                  <c:v>95328.23000000001</c:v>
                </c:pt>
                <c:pt idx="5">
                  <c:v>118727.78000000003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EA-45DA-94C5-06AD5979CB9C}"/>
            </c:ext>
          </c:extLst>
        </c:ser>
        <c:ser>
          <c:idx val="4"/>
          <c:order val="4"/>
          <c:tx>
            <c:v>all values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8000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EEA-45DA-94C5-06AD5979C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909551"/>
        <c:axId val="2141911951"/>
      </c:lineChart>
      <c:catAx>
        <c:axId val="214190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911951"/>
        <c:crosses val="autoZero"/>
        <c:auto val="1"/>
        <c:lblAlgn val="ctr"/>
        <c:lblOffset val="100"/>
        <c:noMultiLvlLbl val="0"/>
      </c:catAx>
      <c:valAx>
        <c:axId val="21419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9095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Days of Stock Remaining by SKU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DASHBOARD!$C$74</c:f>
              <c:strCache>
                <c:ptCount val="1"/>
                <c:pt idx="0">
                  <c:v>Days of Stock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DASHBOARD!$B$75:$B$79</c:f>
              <c:strCache>
                <c:ptCount val="5"/>
                <c:pt idx="0">
                  <c:v>VF-001</c:v>
                </c:pt>
                <c:pt idx="1">
                  <c:v>VF-002</c:v>
                </c:pt>
                <c:pt idx="2">
                  <c:v>VF-003</c:v>
                </c:pt>
                <c:pt idx="3">
                  <c:v>VF-004</c:v>
                </c:pt>
                <c:pt idx="4">
                  <c:v>VF-005</c:v>
                </c:pt>
              </c:strCache>
            </c:strRef>
          </c:cat>
          <c:val>
            <c:numRef>
              <c:f>DASHBOARD!$C$75:$C$79</c:f>
              <c:numCache>
                <c:formatCode>0</c:formatCode>
                <c:ptCount val="5"/>
                <c:pt idx="0">
                  <c:v>66.864224137931032</c:v>
                </c:pt>
                <c:pt idx="1">
                  <c:v>58.400000000000006</c:v>
                </c:pt>
                <c:pt idx="2">
                  <c:v>58.67289719626168</c:v>
                </c:pt>
                <c:pt idx="3">
                  <c:v>50.02210433244916</c:v>
                </c:pt>
                <c:pt idx="4">
                  <c:v>65.058977719528187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4-4F22-9A83-860A5C782A3E}"/>
            </c:ext>
          </c:extLst>
        </c:ser>
        <c:ser>
          <c:idx val="1"/>
          <c:order val="1"/>
          <c:tx>
            <c:strRef>
              <c:f>DASHBOARD!$D$74</c:f>
              <c:strCache>
                <c:ptCount val="1"/>
                <c:pt idx="0">
                  <c:v>Reorder Point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DASHBOARD!$B$75:$B$79</c:f>
              <c:strCache>
                <c:ptCount val="5"/>
                <c:pt idx="0">
                  <c:v>VF-001</c:v>
                </c:pt>
                <c:pt idx="1">
                  <c:v>VF-002</c:v>
                </c:pt>
                <c:pt idx="2">
                  <c:v>VF-003</c:v>
                </c:pt>
                <c:pt idx="3">
                  <c:v>VF-004</c:v>
                </c:pt>
                <c:pt idx="4">
                  <c:v>VF-005</c:v>
                </c:pt>
              </c:strCache>
            </c:strRef>
          </c:cat>
          <c:val>
            <c:numRef>
              <c:f>DASHBOARD!$D$75:$D$79</c:f>
              <c:numCache>
                <c:formatCode>General</c:formatCode>
                <c:ptCount val="5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4-4F22-9A83-860A5C782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380644271"/>
        <c:axId val="380644751"/>
      </c:barChart>
      <c:catAx>
        <c:axId val="38064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44751"/>
        <c:crosses val="autoZero"/>
        <c:auto val="1"/>
        <c:lblAlgn val="ctr"/>
        <c:lblOffset val="100"/>
        <c:noMultiLvlLbl val="0"/>
      </c:catAx>
      <c:valAx>
        <c:axId val="38064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4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11</xdr:row>
      <xdr:rowOff>128586</xdr:rowOff>
    </xdr:from>
    <xdr:to>
      <xdr:col>4</xdr:col>
      <xdr:colOff>971549</xdr:colOff>
      <xdr:row>27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B7328-E09F-FB00-8BD7-E501AEC2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11</xdr:row>
      <xdr:rowOff>128586</xdr:rowOff>
    </xdr:from>
    <xdr:to>
      <xdr:col>8</xdr:col>
      <xdr:colOff>985837</xdr:colOff>
      <xdr:row>27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F428F3-66A2-CEE6-DFA4-917B28F6C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11</xdr:row>
      <xdr:rowOff>128586</xdr:rowOff>
    </xdr:from>
    <xdr:to>
      <xdr:col>12</xdr:col>
      <xdr:colOff>1000125</xdr:colOff>
      <xdr:row>27</xdr:row>
      <xdr:rowOff>92010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F058C-19A0-671F-A91E-57A50229B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FC93-12EE-47BE-BFEB-618AB676D6CC}">
  <sheetPr>
    <tabColor theme="5"/>
  </sheetPr>
  <dimension ref="A1:G38"/>
  <sheetViews>
    <sheetView showGridLines="0" zoomScale="160" zoomScaleNormal="160"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35.7109375" customWidth="1"/>
    <col min="2" max="2" width="20.7109375" customWidth="1"/>
    <col min="3" max="3" width="25.7109375" customWidth="1"/>
  </cols>
  <sheetData>
    <row r="1" spans="1:3" ht="18.75" x14ac:dyDescent="0.3">
      <c r="A1" s="151" t="s">
        <v>0</v>
      </c>
      <c r="B1" s="152"/>
      <c r="C1" s="153"/>
    </row>
    <row r="2" spans="1:3" x14ac:dyDescent="0.25">
      <c r="A2" s="154" t="s">
        <v>1</v>
      </c>
      <c r="B2" s="155"/>
      <c r="C2" s="156"/>
    </row>
    <row r="3" spans="1:3" x14ac:dyDescent="0.25">
      <c r="A3" s="2"/>
      <c r="C3" s="3"/>
    </row>
    <row r="4" spans="1:3" x14ac:dyDescent="0.25">
      <c r="A4" s="148" t="s">
        <v>2</v>
      </c>
      <c r="B4" s="149"/>
      <c r="C4" s="150"/>
    </row>
    <row r="5" spans="1:3" x14ac:dyDescent="0.25">
      <c r="A5" s="2" t="s">
        <v>3</v>
      </c>
      <c r="B5" s="4" t="s">
        <v>4</v>
      </c>
      <c r="C5" s="5"/>
    </row>
    <row r="6" spans="1:3" x14ac:dyDescent="0.25">
      <c r="A6" s="2" t="s">
        <v>5</v>
      </c>
      <c r="B6" s="6">
        <v>45658</v>
      </c>
      <c r="C6" s="5"/>
    </row>
    <row r="7" spans="1:3" x14ac:dyDescent="0.25">
      <c r="A7" s="2" t="s">
        <v>6</v>
      </c>
      <c r="B7" s="4">
        <v>6</v>
      </c>
      <c r="C7" s="5"/>
    </row>
    <row r="8" spans="1:3" x14ac:dyDescent="0.25">
      <c r="A8" s="2" t="s">
        <v>7</v>
      </c>
      <c r="B8" s="4" t="s">
        <v>8</v>
      </c>
      <c r="C8" s="5"/>
    </row>
    <row r="9" spans="1:3" x14ac:dyDescent="0.25">
      <c r="A9" s="2" t="s">
        <v>9</v>
      </c>
      <c r="B9" s="7">
        <v>0</v>
      </c>
      <c r="C9" s="5" t="s">
        <v>216</v>
      </c>
    </row>
    <row r="10" spans="1:3" x14ac:dyDescent="0.25">
      <c r="A10" s="2"/>
      <c r="C10" s="3"/>
    </row>
    <row r="11" spans="1:3" x14ac:dyDescent="0.25">
      <c r="A11" s="148" t="s">
        <v>10</v>
      </c>
      <c r="B11" s="149"/>
      <c r="C11" s="150"/>
    </row>
    <row r="12" spans="1:3" x14ac:dyDescent="0.25">
      <c r="A12" s="2" t="s">
        <v>11</v>
      </c>
      <c r="B12" s="7">
        <v>0.05</v>
      </c>
      <c r="C12" s="3" t="s">
        <v>216</v>
      </c>
    </row>
    <row r="13" spans="1:3" x14ac:dyDescent="0.25">
      <c r="A13" s="2" t="s">
        <v>12</v>
      </c>
      <c r="B13" s="7">
        <v>0.1</v>
      </c>
      <c r="C13" s="3" t="s">
        <v>216</v>
      </c>
    </row>
    <row r="14" spans="1:3" x14ac:dyDescent="0.25">
      <c r="A14" s="11" t="s">
        <v>13</v>
      </c>
      <c r="B14" s="21">
        <v>0.02</v>
      </c>
      <c r="C14" s="3" t="s">
        <v>216</v>
      </c>
    </row>
    <row r="15" spans="1:3" x14ac:dyDescent="0.25">
      <c r="A15" s="13" t="s">
        <v>14</v>
      </c>
      <c r="B15" s="17" t="s">
        <v>156</v>
      </c>
      <c r="C15" s="3"/>
    </row>
    <row r="16" spans="1:3" x14ac:dyDescent="0.25">
      <c r="A16" s="13" t="s">
        <v>15</v>
      </c>
      <c r="B16" s="22">
        <v>0.2</v>
      </c>
      <c r="C16" s="3" t="s">
        <v>216</v>
      </c>
    </row>
    <row r="17" spans="1:3" x14ac:dyDescent="0.25">
      <c r="A17" s="13" t="s">
        <v>16</v>
      </c>
      <c r="B17" s="22">
        <v>-0.1</v>
      </c>
      <c r="C17" s="3" t="s">
        <v>216</v>
      </c>
    </row>
    <row r="18" spans="1:3" x14ac:dyDescent="0.25">
      <c r="A18" s="2"/>
      <c r="C18" s="3"/>
    </row>
    <row r="19" spans="1:3" x14ac:dyDescent="0.25">
      <c r="A19" s="148" t="s">
        <v>17</v>
      </c>
      <c r="B19" s="149"/>
      <c r="C19" s="150"/>
    </row>
    <row r="20" spans="1:3" x14ac:dyDescent="0.25">
      <c r="A20" s="11" t="s">
        <v>18</v>
      </c>
      <c r="B20" s="15">
        <f>B21+B22</f>
        <v>54</v>
      </c>
      <c r="C20" s="16" t="s">
        <v>22</v>
      </c>
    </row>
    <row r="21" spans="1:3" x14ac:dyDescent="0.25">
      <c r="A21" s="13" t="s">
        <v>19</v>
      </c>
      <c r="B21" s="17">
        <v>40</v>
      </c>
      <c r="C21" s="18" t="s">
        <v>22</v>
      </c>
    </row>
    <row r="22" spans="1:3" x14ac:dyDescent="0.25">
      <c r="A22" s="13" t="s">
        <v>20</v>
      </c>
      <c r="B22" s="17">
        <v>14</v>
      </c>
      <c r="C22" s="18" t="s">
        <v>22</v>
      </c>
    </row>
    <row r="23" spans="1:3" x14ac:dyDescent="0.25">
      <c r="A23" s="13" t="s">
        <v>21</v>
      </c>
      <c r="B23" s="17">
        <v>10</v>
      </c>
      <c r="C23" s="18" t="s">
        <v>22</v>
      </c>
    </row>
    <row r="24" spans="1:3" x14ac:dyDescent="0.25">
      <c r="A24" s="2"/>
      <c r="C24" s="3"/>
    </row>
    <row r="25" spans="1:3" x14ac:dyDescent="0.25">
      <c r="A25" s="148" t="s">
        <v>23</v>
      </c>
      <c r="B25" s="149"/>
      <c r="C25" s="150"/>
    </row>
    <row r="26" spans="1:3" x14ac:dyDescent="0.25">
      <c r="A26" s="11" t="s">
        <v>24</v>
      </c>
      <c r="B26" s="15">
        <v>3</v>
      </c>
      <c r="C26" s="16" t="s">
        <v>29</v>
      </c>
    </row>
    <row r="27" spans="1:3" x14ac:dyDescent="0.25">
      <c r="A27" s="13" t="s">
        <v>25</v>
      </c>
      <c r="B27" s="17">
        <v>30</v>
      </c>
      <c r="C27" s="18" t="s">
        <v>30</v>
      </c>
    </row>
    <row r="28" spans="1:3" x14ac:dyDescent="0.25">
      <c r="A28" s="13" t="s">
        <v>26</v>
      </c>
      <c r="B28" s="19">
        <v>50000</v>
      </c>
      <c r="C28" s="18" t="s">
        <v>31</v>
      </c>
    </row>
    <row r="29" spans="1:3" x14ac:dyDescent="0.25">
      <c r="A29" s="13" t="s">
        <v>27</v>
      </c>
      <c r="B29" s="19">
        <v>28000</v>
      </c>
      <c r="C29" s="18" t="s">
        <v>31</v>
      </c>
    </row>
    <row r="30" spans="1:3" x14ac:dyDescent="0.25">
      <c r="A30" s="13" t="s">
        <v>28</v>
      </c>
      <c r="B30" s="20">
        <v>4.5</v>
      </c>
      <c r="C30" s="18" t="s">
        <v>31</v>
      </c>
    </row>
    <row r="31" spans="1:3" x14ac:dyDescent="0.25">
      <c r="A31" s="2" t="s">
        <v>218</v>
      </c>
      <c r="B31" s="134">
        <v>2.9000000000000001E-2</v>
      </c>
      <c r="C31" s="3" t="s">
        <v>219</v>
      </c>
    </row>
    <row r="32" spans="1:3" x14ac:dyDescent="0.25">
      <c r="A32" s="148" t="s">
        <v>32</v>
      </c>
      <c r="B32" s="149"/>
      <c r="C32" s="150"/>
    </row>
    <row r="33" spans="1:7" x14ac:dyDescent="0.25">
      <c r="A33" s="8" t="s">
        <v>33</v>
      </c>
      <c r="B33" s="9" t="s">
        <v>34</v>
      </c>
      <c r="C33" s="45" t="s">
        <v>35</v>
      </c>
    </row>
    <row r="34" spans="1:7" x14ac:dyDescent="0.25">
      <c r="A34" s="11" t="s">
        <v>36</v>
      </c>
      <c r="B34" s="12" t="s">
        <v>41</v>
      </c>
      <c r="C34" s="120">
        <v>24.99</v>
      </c>
      <c r="G34" s="1"/>
    </row>
    <row r="35" spans="1:7" x14ac:dyDescent="0.25">
      <c r="A35" s="13" t="s">
        <v>37</v>
      </c>
      <c r="B35" s="14" t="s">
        <v>42</v>
      </c>
      <c r="C35" s="121">
        <v>19.989999999999998</v>
      </c>
      <c r="F35" s="1"/>
    </row>
    <row r="36" spans="1:7" x14ac:dyDescent="0.25">
      <c r="A36" s="13" t="s">
        <v>38</v>
      </c>
      <c r="B36" s="14" t="s">
        <v>43</v>
      </c>
      <c r="C36" s="121">
        <v>17.989999999999998</v>
      </c>
      <c r="F36" s="1"/>
    </row>
    <row r="37" spans="1:7" x14ac:dyDescent="0.25">
      <c r="A37" s="13" t="s">
        <v>39</v>
      </c>
      <c r="B37" s="14" t="s">
        <v>44</v>
      </c>
      <c r="C37" s="121">
        <v>34.99</v>
      </c>
      <c r="E37" s="1"/>
    </row>
    <row r="38" spans="1:7" x14ac:dyDescent="0.25">
      <c r="A38" s="13" t="s">
        <v>40</v>
      </c>
      <c r="B38" s="14" t="s">
        <v>45</v>
      </c>
      <c r="C38" s="121">
        <v>29.99</v>
      </c>
      <c r="F38" s="1"/>
    </row>
  </sheetData>
  <mergeCells count="7">
    <mergeCell ref="A32:C32"/>
    <mergeCell ref="A1:C1"/>
    <mergeCell ref="A2:C2"/>
    <mergeCell ref="A4:C4"/>
    <mergeCell ref="A11:C11"/>
    <mergeCell ref="A19:C19"/>
    <mergeCell ref="A25:C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64B85C-0910-4C94-BD4B-5E05BFC2CF0E}">
          <x14:formula1>
            <xm:f>#REF!</xm:f>
          </x14:formula1>
          <xm:sqref>B15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3AE6-674F-41B0-B9CF-7A96982036F6}">
  <sheetPr>
    <tabColor theme="9"/>
  </sheetPr>
  <dimension ref="A1:O27"/>
  <sheetViews>
    <sheetView zoomScale="145" zoomScaleNormal="145" workbookViewId="0">
      <pane ySplit="1" topLeftCell="A2" activePane="bottomLeft" state="frozen"/>
      <selection pane="bottomLeft" sqref="A1:O1"/>
    </sheetView>
  </sheetViews>
  <sheetFormatPr defaultRowHeight="15" x14ac:dyDescent="0.25"/>
  <cols>
    <col min="1" max="1" width="10.7109375" customWidth="1"/>
    <col min="2" max="2" width="30.7109375" customWidth="1"/>
    <col min="3" max="5" width="13.140625" bestFit="1" customWidth="1"/>
    <col min="6" max="6" width="13.5703125" bestFit="1" customWidth="1"/>
    <col min="7" max="7" width="13.140625" bestFit="1" customWidth="1"/>
    <col min="8" max="11" width="13.5703125" bestFit="1" customWidth="1"/>
    <col min="12" max="12" width="12.85546875" bestFit="1" customWidth="1"/>
    <col min="13" max="13" width="13.5703125" bestFit="1" customWidth="1"/>
    <col min="14" max="14" width="13.140625" bestFit="1" customWidth="1"/>
    <col min="15" max="15" width="17.28515625" bestFit="1" customWidth="1"/>
  </cols>
  <sheetData>
    <row r="1" spans="1:15" ht="18.75" x14ac:dyDescent="0.3">
      <c r="A1" s="158" t="s">
        <v>46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5">
      <c r="A2" s="155" t="s">
        <v>47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4" spans="1:15" x14ac:dyDescent="0.25">
      <c r="A4" s="25" t="s">
        <v>33</v>
      </c>
      <c r="B4" s="26" t="s">
        <v>34</v>
      </c>
      <c r="C4" s="26" t="s">
        <v>48</v>
      </c>
      <c r="D4" s="26" t="s">
        <v>49</v>
      </c>
      <c r="E4" s="26" t="s">
        <v>50</v>
      </c>
      <c r="F4" s="26" t="s">
        <v>51</v>
      </c>
      <c r="G4" s="26" t="s">
        <v>52</v>
      </c>
      <c r="H4" s="26" t="s">
        <v>53</v>
      </c>
      <c r="I4" s="26" t="s">
        <v>54</v>
      </c>
      <c r="J4" s="26" t="s">
        <v>55</v>
      </c>
      <c r="K4" s="26" t="s">
        <v>56</v>
      </c>
      <c r="L4" s="26" t="s">
        <v>57</v>
      </c>
      <c r="M4" s="26" t="s">
        <v>58</v>
      </c>
      <c r="N4" s="26" t="s">
        <v>59</v>
      </c>
      <c r="O4" s="28" t="s">
        <v>60</v>
      </c>
    </row>
    <row r="5" spans="1:15" x14ac:dyDescent="0.25">
      <c r="A5" s="2" t="s">
        <v>36</v>
      </c>
      <c r="B5" t="s">
        <v>41</v>
      </c>
      <c r="C5" s="27">
        <v>320</v>
      </c>
      <c r="D5" s="27">
        <v>295</v>
      </c>
      <c r="E5" s="27">
        <v>310</v>
      </c>
      <c r="F5" s="27">
        <v>330</v>
      </c>
      <c r="G5" s="27">
        <v>350</v>
      </c>
      <c r="H5" s="27">
        <v>360</v>
      </c>
      <c r="I5" s="27">
        <v>370</v>
      </c>
      <c r="J5" s="27">
        <v>365</v>
      </c>
      <c r="K5" s="27">
        <v>380</v>
      </c>
      <c r="L5" s="27">
        <v>430</v>
      </c>
      <c r="M5" s="27">
        <v>520</v>
      </c>
      <c r="N5" s="27">
        <v>610</v>
      </c>
      <c r="O5" s="31">
        <f>SUM(C5:N5)</f>
        <v>4640</v>
      </c>
    </row>
    <row r="6" spans="1:15" x14ac:dyDescent="0.25">
      <c r="A6" s="2" t="s">
        <v>37</v>
      </c>
      <c r="B6" t="s">
        <v>42</v>
      </c>
      <c r="C6" s="27">
        <v>210</v>
      </c>
      <c r="D6" s="27">
        <v>195</v>
      </c>
      <c r="E6" s="27">
        <v>205</v>
      </c>
      <c r="F6" s="27">
        <v>220</v>
      </c>
      <c r="G6" s="27">
        <v>240</v>
      </c>
      <c r="H6" s="27">
        <v>245</v>
      </c>
      <c r="I6" s="27">
        <v>255</v>
      </c>
      <c r="J6" s="27">
        <v>260</v>
      </c>
      <c r="K6" s="27">
        <v>270</v>
      </c>
      <c r="L6" s="27">
        <v>310</v>
      </c>
      <c r="M6" s="27">
        <v>390</v>
      </c>
      <c r="N6" s="27">
        <v>450</v>
      </c>
      <c r="O6" s="31">
        <f t="shared" ref="O6:O9" si="0">SUM(C6:N6)</f>
        <v>3250</v>
      </c>
    </row>
    <row r="7" spans="1:15" x14ac:dyDescent="0.25">
      <c r="A7" s="2" t="s">
        <v>38</v>
      </c>
      <c r="B7" t="s">
        <v>43</v>
      </c>
      <c r="C7" s="27">
        <v>180</v>
      </c>
      <c r="D7" s="27">
        <v>165</v>
      </c>
      <c r="E7" s="27">
        <v>170</v>
      </c>
      <c r="F7" s="27">
        <v>175</v>
      </c>
      <c r="G7" s="27">
        <v>185</v>
      </c>
      <c r="H7" s="27">
        <v>190</v>
      </c>
      <c r="I7" s="27">
        <v>200</v>
      </c>
      <c r="J7" s="27">
        <v>205</v>
      </c>
      <c r="K7" s="27">
        <v>215</v>
      </c>
      <c r="L7" s="27">
        <v>260</v>
      </c>
      <c r="M7" s="27">
        <v>330</v>
      </c>
      <c r="N7" s="27">
        <v>400</v>
      </c>
      <c r="O7" s="31">
        <f t="shared" si="0"/>
        <v>2675</v>
      </c>
    </row>
    <row r="8" spans="1:15" x14ac:dyDescent="0.25">
      <c r="A8" s="2" t="s">
        <v>39</v>
      </c>
      <c r="B8" t="s">
        <v>44</v>
      </c>
      <c r="C8" s="27">
        <v>140</v>
      </c>
      <c r="D8" s="27">
        <v>128</v>
      </c>
      <c r="E8" s="27">
        <v>135</v>
      </c>
      <c r="F8" s="27">
        <v>150</v>
      </c>
      <c r="G8" s="27">
        <v>165</v>
      </c>
      <c r="H8" s="27">
        <v>172</v>
      </c>
      <c r="I8" s="27">
        <v>180</v>
      </c>
      <c r="J8" s="27">
        <v>185</v>
      </c>
      <c r="K8" s="27">
        <v>192</v>
      </c>
      <c r="L8" s="27">
        <v>220</v>
      </c>
      <c r="M8" s="27">
        <v>275</v>
      </c>
      <c r="N8" s="27">
        <v>320</v>
      </c>
      <c r="O8" s="31">
        <f t="shared" si="0"/>
        <v>2262</v>
      </c>
    </row>
    <row r="9" spans="1:15" x14ac:dyDescent="0.25">
      <c r="A9" s="2" t="s">
        <v>40</v>
      </c>
      <c r="B9" t="s">
        <v>45</v>
      </c>
      <c r="C9" s="27">
        <v>260</v>
      </c>
      <c r="D9" s="27">
        <v>240</v>
      </c>
      <c r="E9" s="27">
        <v>250</v>
      </c>
      <c r="F9" s="27">
        <v>265</v>
      </c>
      <c r="G9" s="27">
        <v>280</v>
      </c>
      <c r="H9" s="27">
        <v>290</v>
      </c>
      <c r="I9" s="27">
        <v>300</v>
      </c>
      <c r="J9" s="27">
        <v>305</v>
      </c>
      <c r="K9" s="27">
        <v>315</v>
      </c>
      <c r="L9" s="27">
        <v>360</v>
      </c>
      <c r="M9" s="27">
        <v>440</v>
      </c>
      <c r="N9" s="27">
        <v>510</v>
      </c>
      <c r="O9" s="31">
        <f t="shared" si="0"/>
        <v>3815</v>
      </c>
    </row>
    <row r="10" spans="1:15" x14ac:dyDescent="0.25">
      <c r="A10" s="159" t="s">
        <v>61</v>
      </c>
      <c r="B10" s="160"/>
      <c r="C10" s="29">
        <f>SUM(C5:C9)</f>
        <v>1110</v>
      </c>
      <c r="D10" s="29">
        <f t="shared" ref="D10:O10" si="1">SUM(D5:D9)</f>
        <v>1023</v>
      </c>
      <c r="E10" s="29">
        <f t="shared" si="1"/>
        <v>1070</v>
      </c>
      <c r="F10" s="29">
        <f t="shared" si="1"/>
        <v>1140</v>
      </c>
      <c r="G10" s="29">
        <f t="shared" si="1"/>
        <v>1220</v>
      </c>
      <c r="H10" s="29">
        <f t="shared" si="1"/>
        <v>1257</v>
      </c>
      <c r="I10" s="29">
        <f t="shared" si="1"/>
        <v>1305</v>
      </c>
      <c r="J10" s="29">
        <f t="shared" si="1"/>
        <v>1320</v>
      </c>
      <c r="K10" s="29">
        <f t="shared" si="1"/>
        <v>1372</v>
      </c>
      <c r="L10" s="29">
        <f t="shared" si="1"/>
        <v>1580</v>
      </c>
      <c r="M10" s="29">
        <f t="shared" si="1"/>
        <v>1955</v>
      </c>
      <c r="N10" s="29">
        <f t="shared" si="1"/>
        <v>2290</v>
      </c>
      <c r="O10" s="30">
        <f t="shared" si="1"/>
        <v>16642</v>
      </c>
    </row>
    <row r="12" spans="1:15" x14ac:dyDescent="0.25">
      <c r="A12" s="161" t="s">
        <v>62</v>
      </c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</row>
    <row r="13" spans="1:15" x14ac:dyDescent="0.25">
      <c r="A13" t="s">
        <v>33</v>
      </c>
      <c r="B13" t="s">
        <v>34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58</v>
      </c>
      <c r="N13" t="s">
        <v>59</v>
      </c>
      <c r="O13" t="s">
        <v>60</v>
      </c>
    </row>
    <row r="14" spans="1:15" x14ac:dyDescent="0.25">
      <c r="A14" s="25" t="str">
        <f>A5</f>
        <v>VF-001</v>
      </c>
      <c r="B14" s="26" t="str">
        <f>B5</f>
        <v>Omega-3 Fish Oil 90 caps</v>
      </c>
      <c r="C14" s="32">
        <f>C5*VLOOKUP($A14,ASSUMPTIONS!$A$34:$C$38,3,0)</f>
        <v>7996.7999999999993</v>
      </c>
      <c r="D14" s="32">
        <f>D5*VLOOKUP($A14,ASSUMPTIONS!$A$34:$C$38,3,0)</f>
        <v>7372.0499999999993</v>
      </c>
      <c r="E14" s="32">
        <f>E5*VLOOKUP($A14,ASSUMPTIONS!$A$34:$C$38,3,0)</f>
        <v>7746.9</v>
      </c>
      <c r="F14" s="32">
        <f>F5*VLOOKUP($A14,ASSUMPTIONS!$A$34:$C$38,3,0)</f>
        <v>8246.6999999999989</v>
      </c>
      <c r="G14" s="32">
        <f>G5*VLOOKUP($A14,ASSUMPTIONS!$A$34:$C$38,3,0)</f>
        <v>8746.5</v>
      </c>
      <c r="H14" s="32">
        <f>H5*VLOOKUP($A14,ASSUMPTIONS!$A$34:$C$38,3,0)</f>
        <v>8996.4</v>
      </c>
      <c r="I14" s="32">
        <f>I5*VLOOKUP($A14,ASSUMPTIONS!$A$34:$C$38,3,0)</f>
        <v>9246.2999999999993</v>
      </c>
      <c r="J14" s="32">
        <f>J5*VLOOKUP($A14,ASSUMPTIONS!$A$34:$C$38,3,0)</f>
        <v>9121.3499999999985</v>
      </c>
      <c r="K14" s="32">
        <f>K5*VLOOKUP($A14,ASSUMPTIONS!$A$34:$C$38,3,0)</f>
        <v>9496.1999999999989</v>
      </c>
      <c r="L14" s="32">
        <f>L5*VLOOKUP($A14,ASSUMPTIONS!$A$34:$C$38,3,0)</f>
        <v>10745.699999999999</v>
      </c>
      <c r="M14" s="32">
        <f>M5*VLOOKUP($A14,ASSUMPTIONS!$A$34:$C$38,3,0)</f>
        <v>12994.8</v>
      </c>
      <c r="N14" s="32">
        <f>N5*VLOOKUP($A14,ASSUMPTIONS!$A$34:$C$38,3,0)</f>
        <v>15243.9</v>
      </c>
      <c r="O14" s="33">
        <f>SUM(C14:N14)</f>
        <v>115953.59999999999</v>
      </c>
    </row>
    <row r="15" spans="1:15" x14ac:dyDescent="0.25">
      <c r="A15" s="2" t="str">
        <f t="shared" ref="A15:B15" si="2">A6</f>
        <v>VF-002</v>
      </c>
      <c r="B15" t="str">
        <f t="shared" si="2"/>
        <v>Magnesium Complex 60 caps</v>
      </c>
      <c r="C15" s="32">
        <f>C6*VLOOKUP($A15,ASSUMPTIONS!$A$34:$C$38,3,0)</f>
        <v>4197.8999999999996</v>
      </c>
      <c r="D15" s="32">
        <f>D6*VLOOKUP($A15,ASSUMPTIONS!$A$34:$C$38,3,0)</f>
        <v>3898.0499999999997</v>
      </c>
      <c r="E15" s="32">
        <f>E6*VLOOKUP($A15,ASSUMPTIONS!$A$34:$C$38,3,0)</f>
        <v>4097.95</v>
      </c>
      <c r="F15" s="32">
        <f>F6*VLOOKUP($A15,ASSUMPTIONS!$A$34:$C$38,3,0)</f>
        <v>4397.7999999999993</v>
      </c>
      <c r="G15" s="32">
        <f>G6*VLOOKUP($A15,ASSUMPTIONS!$A$34:$C$38,3,0)</f>
        <v>4797.5999999999995</v>
      </c>
      <c r="H15" s="32">
        <f>H6*VLOOKUP($A15,ASSUMPTIONS!$A$34:$C$38,3,0)</f>
        <v>4897.5499999999993</v>
      </c>
      <c r="I15" s="32">
        <f>I6*VLOOKUP($A15,ASSUMPTIONS!$A$34:$C$38,3,0)</f>
        <v>5097.45</v>
      </c>
      <c r="J15" s="32">
        <f>J6*VLOOKUP($A15,ASSUMPTIONS!$A$34:$C$38,3,0)</f>
        <v>5197.3999999999996</v>
      </c>
      <c r="K15" s="32">
        <f>K6*VLOOKUP($A15,ASSUMPTIONS!$A$34:$C$38,3,0)</f>
        <v>5397.2999999999993</v>
      </c>
      <c r="L15" s="32">
        <f>L6*VLOOKUP($A15,ASSUMPTIONS!$A$34:$C$38,3,0)</f>
        <v>6196.9</v>
      </c>
      <c r="M15" s="32">
        <f>M6*VLOOKUP($A15,ASSUMPTIONS!$A$34:$C$38,3,0)</f>
        <v>7796.0999999999995</v>
      </c>
      <c r="N15" s="32">
        <f>N6*VLOOKUP($A15,ASSUMPTIONS!$A$34:$C$38,3,0)</f>
        <v>8995.5</v>
      </c>
      <c r="O15" s="34">
        <f t="shared" ref="O15:O18" si="3">SUM(C15:N15)</f>
        <v>64967.5</v>
      </c>
    </row>
    <row r="16" spans="1:15" x14ac:dyDescent="0.25">
      <c r="A16" s="2" t="str">
        <f t="shared" ref="A16:B16" si="4">A7</f>
        <v>VF-003</v>
      </c>
      <c r="B16" t="str">
        <f t="shared" si="4"/>
        <v>Vitamin D3 120 caps</v>
      </c>
      <c r="C16" s="32">
        <f>C7*VLOOKUP($A16,ASSUMPTIONS!$A$34:$C$38,3,0)</f>
        <v>3238.2</v>
      </c>
      <c r="D16" s="32">
        <f>D7*VLOOKUP($A16,ASSUMPTIONS!$A$34:$C$38,3,0)</f>
        <v>2968.35</v>
      </c>
      <c r="E16" s="32">
        <f>E7*VLOOKUP($A16,ASSUMPTIONS!$A$34:$C$38,3,0)</f>
        <v>3058.2999999999997</v>
      </c>
      <c r="F16" s="32">
        <f>F7*VLOOKUP($A16,ASSUMPTIONS!$A$34:$C$38,3,0)</f>
        <v>3148.2499999999995</v>
      </c>
      <c r="G16" s="32">
        <f>G7*VLOOKUP($A16,ASSUMPTIONS!$A$34:$C$38,3,0)</f>
        <v>3328.1499999999996</v>
      </c>
      <c r="H16" s="32">
        <f>H7*VLOOKUP($A16,ASSUMPTIONS!$A$34:$C$38,3,0)</f>
        <v>3418.1</v>
      </c>
      <c r="I16" s="32">
        <f>I7*VLOOKUP($A16,ASSUMPTIONS!$A$34:$C$38,3,0)</f>
        <v>3597.9999999999995</v>
      </c>
      <c r="J16" s="32">
        <f>J7*VLOOKUP($A16,ASSUMPTIONS!$A$34:$C$38,3,0)</f>
        <v>3687.95</v>
      </c>
      <c r="K16" s="32">
        <f>K7*VLOOKUP($A16,ASSUMPTIONS!$A$34:$C$38,3,0)</f>
        <v>3867.8499999999995</v>
      </c>
      <c r="L16" s="32">
        <f>L7*VLOOKUP($A16,ASSUMPTIONS!$A$34:$C$38,3,0)</f>
        <v>4677.3999999999996</v>
      </c>
      <c r="M16" s="32">
        <f>M7*VLOOKUP($A16,ASSUMPTIONS!$A$34:$C$38,3,0)</f>
        <v>5936.7</v>
      </c>
      <c r="N16" s="32">
        <f>N7*VLOOKUP($A16,ASSUMPTIONS!$A$34:$C$38,3,0)</f>
        <v>7195.9999999999991</v>
      </c>
      <c r="O16" s="34">
        <f t="shared" si="3"/>
        <v>48123.249999999993</v>
      </c>
    </row>
    <row r="17" spans="1:15" x14ac:dyDescent="0.25">
      <c r="A17" s="2" t="str">
        <f t="shared" ref="A17:B17" si="5">A8</f>
        <v>VF-004</v>
      </c>
      <c r="B17" t="str">
        <f t="shared" si="5"/>
        <v>Collagen Peptides 500g</v>
      </c>
      <c r="C17" s="32">
        <f>C8*VLOOKUP($A17,ASSUMPTIONS!$A$34:$C$38,3,0)</f>
        <v>4898.6000000000004</v>
      </c>
      <c r="D17" s="32">
        <f>D8*VLOOKUP($A17,ASSUMPTIONS!$A$34:$C$38,3,0)</f>
        <v>4478.72</v>
      </c>
      <c r="E17" s="32">
        <f>E8*VLOOKUP($A17,ASSUMPTIONS!$A$34:$C$38,3,0)</f>
        <v>4723.6500000000005</v>
      </c>
      <c r="F17" s="32">
        <f>F8*VLOOKUP($A17,ASSUMPTIONS!$A$34:$C$38,3,0)</f>
        <v>5248.5</v>
      </c>
      <c r="G17" s="32">
        <f>G8*VLOOKUP($A17,ASSUMPTIONS!$A$34:$C$38,3,0)</f>
        <v>5773.35</v>
      </c>
      <c r="H17" s="32">
        <f>H8*VLOOKUP($A17,ASSUMPTIONS!$A$34:$C$38,3,0)</f>
        <v>6018.2800000000007</v>
      </c>
      <c r="I17" s="32">
        <f>I8*VLOOKUP($A17,ASSUMPTIONS!$A$34:$C$38,3,0)</f>
        <v>6298.2000000000007</v>
      </c>
      <c r="J17" s="32">
        <f>J8*VLOOKUP($A17,ASSUMPTIONS!$A$34:$C$38,3,0)</f>
        <v>6473.1500000000005</v>
      </c>
      <c r="K17" s="32">
        <f>K8*VLOOKUP($A17,ASSUMPTIONS!$A$34:$C$38,3,0)</f>
        <v>6718.08</v>
      </c>
      <c r="L17" s="32">
        <f>L8*VLOOKUP($A17,ASSUMPTIONS!$A$34:$C$38,3,0)</f>
        <v>7697.8</v>
      </c>
      <c r="M17" s="32">
        <f>M8*VLOOKUP($A17,ASSUMPTIONS!$A$34:$C$38,3,0)</f>
        <v>9622.25</v>
      </c>
      <c r="N17" s="32">
        <f>N8*VLOOKUP($A17,ASSUMPTIONS!$A$34:$C$38,3,0)</f>
        <v>11196.800000000001</v>
      </c>
      <c r="O17" s="34">
        <f t="shared" si="3"/>
        <v>79147.380000000019</v>
      </c>
    </row>
    <row r="18" spans="1:15" x14ac:dyDescent="0.25">
      <c r="A18" s="2" t="str">
        <f t="shared" ref="A18:B18" si="6">A9</f>
        <v>VF-005</v>
      </c>
      <c r="B18" t="str">
        <f t="shared" si="6"/>
        <v>Probiotic Blend 30 caps</v>
      </c>
      <c r="C18" s="32">
        <f>C9*VLOOKUP($A18,ASSUMPTIONS!$A$34:$C$38,3,0)</f>
        <v>7797.4</v>
      </c>
      <c r="D18" s="32">
        <f>D9*VLOOKUP($A18,ASSUMPTIONS!$A$34:$C$38,3,0)</f>
        <v>7197.5999999999995</v>
      </c>
      <c r="E18" s="32">
        <f>E9*VLOOKUP($A18,ASSUMPTIONS!$A$34:$C$38,3,0)</f>
        <v>7497.5</v>
      </c>
      <c r="F18" s="32">
        <f>F9*VLOOKUP($A18,ASSUMPTIONS!$A$34:$C$38,3,0)</f>
        <v>7947.3499999999995</v>
      </c>
      <c r="G18" s="32">
        <f>G9*VLOOKUP($A18,ASSUMPTIONS!$A$34:$C$38,3,0)</f>
        <v>8397.1999999999989</v>
      </c>
      <c r="H18" s="32">
        <f>H9*VLOOKUP($A18,ASSUMPTIONS!$A$34:$C$38,3,0)</f>
        <v>8697.1</v>
      </c>
      <c r="I18" s="32">
        <f>I9*VLOOKUP($A18,ASSUMPTIONS!$A$34:$C$38,3,0)</f>
        <v>8997</v>
      </c>
      <c r="J18" s="32">
        <f>J9*VLOOKUP($A18,ASSUMPTIONS!$A$34:$C$38,3,0)</f>
        <v>9146.9499999999989</v>
      </c>
      <c r="K18" s="32">
        <f>K9*VLOOKUP($A18,ASSUMPTIONS!$A$34:$C$38,3,0)</f>
        <v>9446.85</v>
      </c>
      <c r="L18" s="32">
        <f>L9*VLOOKUP($A18,ASSUMPTIONS!$A$34:$C$38,3,0)</f>
        <v>10796.4</v>
      </c>
      <c r="M18" s="32">
        <f>M9*VLOOKUP($A18,ASSUMPTIONS!$A$34:$C$38,3,0)</f>
        <v>13195.599999999999</v>
      </c>
      <c r="N18" s="32">
        <f>N9*VLOOKUP($A18,ASSUMPTIONS!$A$34:$C$38,3,0)</f>
        <v>15294.9</v>
      </c>
      <c r="O18" s="34">
        <f t="shared" si="3"/>
        <v>114411.84999999998</v>
      </c>
    </row>
    <row r="19" spans="1:15" x14ac:dyDescent="0.25">
      <c r="A19" s="159" t="s">
        <v>63</v>
      </c>
      <c r="B19" s="160"/>
      <c r="C19" s="35">
        <f>SUM(C14:C18)</f>
        <v>28128.9</v>
      </c>
      <c r="D19" s="35">
        <f t="shared" ref="D19:O19" si="7">SUM(D14:D18)</f>
        <v>25914.769999999997</v>
      </c>
      <c r="E19" s="35">
        <f t="shared" si="7"/>
        <v>27124.3</v>
      </c>
      <c r="F19" s="35">
        <f t="shared" si="7"/>
        <v>28988.6</v>
      </c>
      <c r="G19" s="35">
        <f t="shared" si="7"/>
        <v>31042.799999999996</v>
      </c>
      <c r="H19" s="35">
        <f t="shared" si="7"/>
        <v>32027.43</v>
      </c>
      <c r="I19" s="35">
        <f t="shared" si="7"/>
        <v>33236.949999999997</v>
      </c>
      <c r="J19" s="35">
        <f t="shared" si="7"/>
        <v>33626.799999999996</v>
      </c>
      <c r="K19" s="35">
        <f t="shared" si="7"/>
        <v>34926.28</v>
      </c>
      <c r="L19" s="35">
        <f t="shared" si="7"/>
        <v>40114.199999999997</v>
      </c>
      <c r="M19" s="35">
        <f t="shared" si="7"/>
        <v>49545.45</v>
      </c>
      <c r="N19" s="35">
        <f t="shared" si="7"/>
        <v>57927.100000000006</v>
      </c>
      <c r="O19" s="36">
        <f t="shared" si="7"/>
        <v>422603.57999999996</v>
      </c>
    </row>
    <row r="21" spans="1:15" x14ac:dyDescent="0.25">
      <c r="A21" s="157" t="s">
        <v>64</v>
      </c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</row>
    <row r="22" spans="1:15" x14ac:dyDescent="0.25">
      <c r="A22" s="23" t="s">
        <v>65</v>
      </c>
      <c r="B22" s="23" t="s">
        <v>34</v>
      </c>
      <c r="C22" s="23" t="s">
        <v>66</v>
      </c>
    </row>
    <row r="23" spans="1:15" x14ac:dyDescent="0.25">
      <c r="A23" t="str">
        <f>A5</f>
        <v>VF-001</v>
      </c>
      <c r="B23" t="str">
        <f>B5</f>
        <v>Omega-3 Fish Oil 90 caps</v>
      </c>
      <c r="C23" s="190">
        <f>AVERAGE($C5:$N5)</f>
        <v>386.66666666666669</v>
      </c>
    </row>
    <row r="24" spans="1:15" x14ac:dyDescent="0.25">
      <c r="A24" t="str">
        <f t="shared" ref="A24:B27" si="8">A6</f>
        <v>VF-002</v>
      </c>
      <c r="B24" t="str">
        <f t="shared" si="8"/>
        <v>Magnesium Complex 60 caps</v>
      </c>
      <c r="C24" s="190">
        <f t="shared" ref="C24:C27" si="9">AVERAGE($C6:$N6)</f>
        <v>270.83333333333331</v>
      </c>
    </row>
    <row r="25" spans="1:15" x14ac:dyDescent="0.25">
      <c r="A25" t="str">
        <f t="shared" si="8"/>
        <v>VF-003</v>
      </c>
      <c r="B25" t="str">
        <f t="shared" si="8"/>
        <v>Vitamin D3 120 caps</v>
      </c>
      <c r="C25" s="190">
        <f t="shared" si="9"/>
        <v>222.91666666666666</v>
      </c>
    </row>
    <row r="26" spans="1:15" x14ac:dyDescent="0.25">
      <c r="A26" t="str">
        <f t="shared" si="8"/>
        <v>VF-004</v>
      </c>
      <c r="B26" t="str">
        <f t="shared" si="8"/>
        <v>Collagen Peptides 500g</v>
      </c>
      <c r="C26" s="190">
        <f t="shared" si="9"/>
        <v>188.5</v>
      </c>
    </row>
    <row r="27" spans="1:15" x14ac:dyDescent="0.25">
      <c r="A27" t="str">
        <f t="shared" si="8"/>
        <v>VF-005</v>
      </c>
      <c r="B27" t="str">
        <f t="shared" si="8"/>
        <v>Probiotic Blend 30 caps</v>
      </c>
      <c r="C27" s="190">
        <f t="shared" si="9"/>
        <v>317.91666666666669</v>
      </c>
    </row>
  </sheetData>
  <mergeCells count="6">
    <mergeCell ref="A21:O21"/>
    <mergeCell ref="A1:O1"/>
    <mergeCell ref="A2:O2"/>
    <mergeCell ref="A10:B10"/>
    <mergeCell ref="A12:O12"/>
    <mergeCell ref="A19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1CCC-AE3A-496E-AE49-9C6A9D823982}">
  <sheetPr>
    <tabColor rgb="FF7030A0"/>
  </sheetPr>
  <dimension ref="A1:L30"/>
  <sheetViews>
    <sheetView showGridLines="0" zoomScale="115" zoomScaleNormal="115" workbookViewId="0">
      <pane ySplit="1" topLeftCell="A2" activePane="bottomLeft" state="frozen"/>
      <selection pane="bottomLeft" sqref="A1:L1"/>
    </sheetView>
  </sheetViews>
  <sheetFormatPr defaultRowHeight="15" x14ac:dyDescent="0.25"/>
  <cols>
    <col min="1" max="1" width="15.7109375" customWidth="1"/>
    <col min="2" max="2" width="30.7109375" customWidth="1"/>
    <col min="3" max="12" width="16.7109375" customWidth="1"/>
  </cols>
  <sheetData>
    <row r="1" spans="1:12" ht="18.75" x14ac:dyDescent="0.3">
      <c r="A1" s="137" t="s">
        <v>67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spans="1:12" x14ac:dyDescent="0.25">
      <c r="A2" s="155" t="s">
        <v>68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4" spans="1:12" x14ac:dyDescent="0.25">
      <c r="A4" s="162" t="s">
        <v>69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4"/>
    </row>
    <row r="5" spans="1:12" ht="30" x14ac:dyDescent="0.25">
      <c r="A5" s="122" t="s">
        <v>33</v>
      </c>
      <c r="B5" s="123" t="s">
        <v>34</v>
      </c>
      <c r="C5" s="123" t="s">
        <v>70</v>
      </c>
      <c r="D5" s="123" t="s">
        <v>71</v>
      </c>
      <c r="E5" s="123" t="s">
        <v>72</v>
      </c>
      <c r="F5" s="123" t="s">
        <v>73</v>
      </c>
      <c r="G5" s="123" t="s">
        <v>74</v>
      </c>
      <c r="H5" s="123" t="s">
        <v>75</v>
      </c>
      <c r="I5" s="123" t="s">
        <v>76</v>
      </c>
      <c r="J5" s="124"/>
      <c r="K5" s="124"/>
      <c r="L5" s="125"/>
    </row>
    <row r="6" spans="1:12" x14ac:dyDescent="0.25">
      <c r="A6" s="2" t="str">
        <f>ASSUMPTIONS!A34</f>
        <v>VF-001</v>
      </c>
      <c r="B6" t="str" cm="1">
        <f t="array" ref="B6:B10">ASSUMPTIONS!B34:B38</f>
        <v>Omega-3 Fish Oil 90 caps</v>
      </c>
      <c r="C6" s="104">
        <v>8.5</v>
      </c>
      <c r="D6">
        <v>850</v>
      </c>
      <c r="E6" s="37" cm="1">
        <f t="array" ref="E6:E10">'SALES DATA'!O5:O9/365</f>
        <v>12.712328767123287</v>
      </c>
      <c r="F6" s="38">
        <f>IFERROR($D6/$E6,0)</f>
        <v>66.864224137931032</v>
      </c>
      <c r="G6" s="38">
        <f>(ASSUMPTIONS!$B$20)*INVENTORY!$E6</f>
        <v>686.46575342465746</v>
      </c>
      <c r="H6" s="38">
        <f>ASSUMPTIONS!$B$22*INVENTORY!$E6</f>
        <v>177.97260273972603</v>
      </c>
      <c r="I6" s="39" t="str">
        <f>IF($F6&lt;=ASSUMPTIONS!$B$23,"🔴 CRITICAL", IF($F6&lt;=ASSUMPTIONS!$B$20,"🟡 REORDER NOW","🟢 OK"))</f>
        <v>🟢 OK</v>
      </c>
      <c r="L6" s="3"/>
    </row>
    <row r="7" spans="1:12" x14ac:dyDescent="0.25">
      <c r="A7" s="2" t="str">
        <f>ASSUMPTIONS!A35</f>
        <v>VF-002</v>
      </c>
      <c r="B7" t="str">
        <v>Magnesium Complex 60 caps</v>
      </c>
      <c r="C7" s="104">
        <v>6.8</v>
      </c>
      <c r="D7">
        <v>520</v>
      </c>
      <c r="E7" s="37">
        <v>8.9041095890410951</v>
      </c>
      <c r="F7" s="38">
        <f t="shared" ref="F7:F10" si="0">IFERROR($D7/$E7,0)</f>
        <v>58.400000000000006</v>
      </c>
      <c r="G7" s="38">
        <f>(ASSUMPTIONS!$B$20)*INVENTORY!$E7</f>
        <v>480.82191780821915</v>
      </c>
      <c r="H7" s="38">
        <f>ASSUMPTIONS!$B$22*INVENTORY!$E7</f>
        <v>124.65753424657532</v>
      </c>
      <c r="I7" s="39" t="str">
        <f>IF($F7&lt;=ASSUMPTIONS!$B$23,"🔴 CRITICAL", IF($F7&lt;=ASSUMPTIONS!$B$20,"🟡 REORDER NOW","🟢 OK"))</f>
        <v>🟢 OK</v>
      </c>
      <c r="L7" s="3"/>
    </row>
    <row r="8" spans="1:12" x14ac:dyDescent="0.25">
      <c r="A8" s="2" t="str">
        <f>ASSUMPTIONS!A36</f>
        <v>VF-003</v>
      </c>
      <c r="B8" t="str">
        <v>Vitamin D3 120 caps</v>
      </c>
      <c r="C8" s="104">
        <v>5.9</v>
      </c>
      <c r="D8">
        <v>430</v>
      </c>
      <c r="E8" s="37">
        <v>7.3287671232876717</v>
      </c>
      <c r="F8" s="38">
        <f t="shared" si="0"/>
        <v>58.67289719626168</v>
      </c>
      <c r="G8" s="38">
        <f>(ASSUMPTIONS!$B$20)*INVENTORY!$E8</f>
        <v>395.75342465753425</v>
      </c>
      <c r="H8" s="38">
        <f>ASSUMPTIONS!$B$22*INVENTORY!$E8</f>
        <v>102.60273972602741</v>
      </c>
      <c r="I8" s="39" t="str">
        <f>IF($F8&lt;=ASSUMPTIONS!$B$23,"🔴 CRITICAL", IF($F8&lt;=ASSUMPTIONS!$B$20,"🟡 REORDER NOW","🟢 OK"))</f>
        <v>🟢 OK</v>
      </c>
      <c r="L8" s="3"/>
    </row>
    <row r="9" spans="1:12" x14ac:dyDescent="0.25">
      <c r="A9" s="2" t="str">
        <f>ASSUMPTIONS!A37</f>
        <v>VF-004</v>
      </c>
      <c r="B9" t="str">
        <v>Collagen Peptides 500g</v>
      </c>
      <c r="C9" s="104">
        <v>12.4</v>
      </c>
      <c r="D9">
        <v>310</v>
      </c>
      <c r="E9" s="37">
        <v>6.1972602739726028</v>
      </c>
      <c r="F9" s="38">
        <f t="shared" si="0"/>
        <v>50.02210433244916</v>
      </c>
      <c r="G9" s="38">
        <f>(ASSUMPTIONS!$B$20)*INVENTORY!$E9</f>
        <v>334.65205479452055</v>
      </c>
      <c r="H9" s="38">
        <f>ASSUMPTIONS!$B$22*INVENTORY!$E9</f>
        <v>86.761643835616439</v>
      </c>
      <c r="I9" s="39" t="str">
        <f>IF($F9&lt;=ASSUMPTIONS!$B$23,"🔴 CRITICAL", IF($F9&lt;=ASSUMPTIONS!$B$20,"🟡 REORDER NOW","🟢 OK"))</f>
        <v>🟡 REORDER NOW</v>
      </c>
      <c r="L9" s="3"/>
    </row>
    <row r="10" spans="1:12" x14ac:dyDescent="0.25">
      <c r="A10" s="11" t="str">
        <f>ASSUMPTIONS!A38</f>
        <v>VF-005</v>
      </c>
      <c r="B10" s="12" t="str">
        <v>Probiotic Blend 30 caps</v>
      </c>
      <c r="C10" s="105">
        <v>9.1999999999999993</v>
      </c>
      <c r="D10" s="12">
        <v>680</v>
      </c>
      <c r="E10" s="40">
        <v>10.452054794520548</v>
      </c>
      <c r="F10" s="41">
        <f t="shared" si="0"/>
        <v>65.058977719528187</v>
      </c>
      <c r="G10" s="38">
        <f>(ASSUMPTIONS!$B$20)*INVENTORY!$E10</f>
        <v>564.41095890410952</v>
      </c>
      <c r="H10" s="41">
        <f>ASSUMPTIONS!$B$22*INVENTORY!$E10</f>
        <v>146.32876712328766</v>
      </c>
      <c r="I10" s="42" t="str">
        <f>IF($F10&lt;=ASSUMPTIONS!$B$23,"🔴 CRITICAL", IF($F10&lt;=ASSUMPTIONS!$B$20,"🟡 REORDER NOW","🟢 OK"))</f>
        <v>🟢 OK</v>
      </c>
      <c r="J10" s="12"/>
      <c r="K10" s="12"/>
      <c r="L10" s="16"/>
    </row>
    <row r="12" spans="1:12" x14ac:dyDescent="0.25">
      <c r="A12" s="140" t="s">
        <v>77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2"/>
    </row>
    <row r="13" spans="1:12" ht="30" x14ac:dyDescent="0.25">
      <c r="A13" s="127" t="s">
        <v>78</v>
      </c>
      <c r="B13" s="128" t="s">
        <v>79</v>
      </c>
      <c r="C13" s="128" t="s">
        <v>80</v>
      </c>
      <c r="D13" s="128" t="s">
        <v>81</v>
      </c>
      <c r="E13" s="128" t="s">
        <v>82</v>
      </c>
      <c r="F13" s="128" t="s">
        <v>83</v>
      </c>
      <c r="G13" s="128" t="s">
        <v>84</v>
      </c>
      <c r="H13" s="128" t="s">
        <v>85</v>
      </c>
      <c r="I13" s="128" t="s">
        <v>86</v>
      </c>
      <c r="J13" s="128" t="s">
        <v>87</v>
      </c>
      <c r="K13" s="128" t="s">
        <v>88</v>
      </c>
      <c r="L13" s="129" t="s">
        <v>89</v>
      </c>
    </row>
    <row r="14" spans="1:12" x14ac:dyDescent="0.25">
      <c r="A14" s="2" t="s">
        <v>90</v>
      </c>
      <c r="B14" s="51" t="s">
        <v>36</v>
      </c>
      <c r="C14" t="s">
        <v>41</v>
      </c>
      <c r="D14" s="46">
        <v>1200</v>
      </c>
      <c r="E14" s="104">
        <v>8.5</v>
      </c>
      <c r="F14" s="104">
        <f>D14*E14</f>
        <v>10200</v>
      </c>
      <c r="G14" s="47">
        <v>45641</v>
      </c>
      <c r="H14" s="47">
        <v>45677</v>
      </c>
      <c r="I14" s="27">
        <f>H14-G14</f>
        <v>36</v>
      </c>
      <c r="J14" s="130">
        <v>45671</v>
      </c>
      <c r="K14" s="51" t="s">
        <v>97</v>
      </c>
      <c r="L14" s="131" t="s">
        <v>99</v>
      </c>
    </row>
    <row r="15" spans="1:12" x14ac:dyDescent="0.25">
      <c r="A15" s="2" t="s">
        <v>91</v>
      </c>
      <c r="B15" s="51" t="s">
        <v>38</v>
      </c>
      <c r="C15" t="s">
        <v>43</v>
      </c>
      <c r="D15" s="46">
        <v>900</v>
      </c>
      <c r="E15" s="104">
        <v>5.9</v>
      </c>
      <c r="F15" s="104">
        <f t="shared" ref="F15:F20" si="1">D15*E15</f>
        <v>5310</v>
      </c>
      <c r="G15" s="47">
        <v>45646</v>
      </c>
      <c r="H15" s="47">
        <v>45682</v>
      </c>
      <c r="I15" s="27">
        <f t="shared" ref="I15:I20" si="2">H15-G15</f>
        <v>36</v>
      </c>
      <c r="J15" s="130">
        <v>45676</v>
      </c>
      <c r="K15" s="51" t="s">
        <v>97</v>
      </c>
      <c r="L15" s="131" t="s">
        <v>100</v>
      </c>
    </row>
    <row r="16" spans="1:12" x14ac:dyDescent="0.25">
      <c r="A16" s="2" t="s">
        <v>92</v>
      </c>
      <c r="B16" s="51" t="s">
        <v>37</v>
      </c>
      <c r="C16" t="s">
        <v>42</v>
      </c>
      <c r="D16" s="46">
        <v>800</v>
      </c>
      <c r="E16" s="104">
        <v>6.8</v>
      </c>
      <c r="F16" s="104">
        <f t="shared" si="1"/>
        <v>5440</v>
      </c>
      <c r="G16" s="47">
        <v>45658</v>
      </c>
      <c r="H16" s="47">
        <v>45698</v>
      </c>
      <c r="I16" s="27">
        <f t="shared" si="2"/>
        <v>40</v>
      </c>
      <c r="J16" s="130">
        <v>45688</v>
      </c>
      <c r="K16" s="51" t="s">
        <v>98</v>
      </c>
      <c r="L16" s="131" t="s">
        <v>101</v>
      </c>
    </row>
    <row r="17" spans="1:12" x14ac:dyDescent="0.25">
      <c r="A17" s="2" t="s">
        <v>93</v>
      </c>
      <c r="B17" s="51" t="s">
        <v>40</v>
      </c>
      <c r="C17" t="s">
        <v>45</v>
      </c>
      <c r="D17" s="46">
        <v>1000</v>
      </c>
      <c r="E17" s="104">
        <v>9.1999999999999993</v>
      </c>
      <c r="F17" s="104">
        <f t="shared" si="1"/>
        <v>9200</v>
      </c>
      <c r="G17" s="47">
        <v>45662</v>
      </c>
      <c r="H17" s="47">
        <v>45703</v>
      </c>
      <c r="I17" s="27">
        <f t="shared" si="2"/>
        <v>41</v>
      </c>
      <c r="J17" s="130">
        <v>45692</v>
      </c>
      <c r="K17" s="51" t="s">
        <v>98</v>
      </c>
      <c r="L17" s="131" t="s">
        <v>102</v>
      </c>
    </row>
    <row r="18" spans="1:12" x14ac:dyDescent="0.25">
      <c r="A18" s="2" t="s">
        <v>94</v>
      </c>
      <c r="B18" s="51" t="s">
        <v>39</v>
      </c>
      <c r="C18" t="s">
        <v>44</v>
      </c>
      <c r="D18" s="46">
        <v>600</v>
      </c>
      <c r="E18" s="104">
        <v>12.4</v>
      </c>
      <c r="F18" s="104">
        <f t="shared" si="1"/>
        <v>7440</v>
      </c>
      <c r="G18" s="47">
        <v>45667</v>
      </c>
      <c r="H18" s="47">
        <v>45708</v>
      </c>
      <c r="I18" s="27">
        <f t="shared" si="2"/>
        <v>41</v>
      </c>
      <c r="J18" s="130">
        <v>45697</v>
      </c>
      <c r="K18" s="51" t="s">
        <v>98</v>
      </c>
      <c r="L18" s="131" t="s">
        <v>103</v>
      </c>
    </row>
    <row r="19" spans="1:12" x14ac:dyDescent="0.25">
      <c r="A19" s="2" t="s">
        <v>95</v>
      </c>
      <c r="B19" s="51" t="s">
        <v>36</v>
      </c>
      <c r="C19" t="s">
        <v>41</v>
      </c>
      <c r="D19" s="46">
        <v>1000</v>
      </c>
      <c r="E19" s="104">
        <v>8.5</v>
      </c>
      <c r="F19" s="104">
        <f t="shared" si="1"/>
        <v>8500</v>
      </c>
      <c r="G19" s="47">
        <v>45672</v>
      </c>
      <c r="H19" s="47">
        <v>45717</v>
      </c>
      <c r="I19" s="27">
        <f t="shared" si="2"/>
        <v>45</v>
      </c>
      <c r="J19" s="130">
        <v>45702</v>
      </c>
      <c r="K19" s="51" t="s">
        <v>98</v>
      </c>
      <c r="L19" s="131" t="s">
        <v>104</v>
      </c>
    </row>
    <row r="20" spans="1:12" x14ac:dyDescent="0.25">
      <c r="A20" s="2" t="s">
        <v>96</v>
      </c>
      <c r="B20" s="51" t="s">
        <v>38</v>
      </c>
      <c r="C20" t="s">
        <v>43</v>
      </c>
      <c r="D20" s="46">
        <v>700</v>
      </c>
      <c r="E20" s="104">
        <v>5.9</v>
      </c>
      <c r="F20" s="104">
        <f t="shared" si="1"/>
        <v>4130</v>
      </c>
      <c r="G20" s="47">
        <v>45677</v>
      </c>
      <c r="H20" s="47">
        <v>45726</v>
      </c>
      <c r="I20" s="27">
        <f t="shared" si="2"/>
        <v>49</v>
      </c>
      <c r="J20" s="130">
        <v>45707</v>
      </c>
      <c r="K20" s="51" t="s">
        <v>98</v>
      </c>
      <c r="L20" s="131" t="s">
        <v>104</v>
      </c>
    </row>
    <row r="21" spans="1:12" x14ac:dyDescent="0.25">
      <c r="A21" s="165" t="s">
        <v>105</v>
      </c>
      <c r="B21" s="166"/>
      <c r="C21" s="166"/>
      <c r="D21" s="166"/>
      <c r="E21" s="166"/>
      <c r="F21" s="126">
        <f>SUM(F14:F20)</f>
        <v>50220</v>
      </c>
      <c r="G21" s="12"/>
      <c r="H21" s="12"/>
      <c r="I21" s="12"/>
      <c r="J21" s="12"/>
      <c r="K21" s="12"/>
      <c r="L21" s="16"/>
    </row>
    <row r="23" spans="1:12" x14ac:dyDescent="0.25">
      <c r="A23" s="162" t="s">
        <v>106</v>
      </c>
      <c r="B23" s="163"/>
      <c r="C23" s="163"/>
      <c r="D23" s="163"/>
      <c r="E23" s="163"/>
      <c r="F23" s="164"/>
    </row>
    <row r="24" spans="1:12" x14ac:dyDescent="0.25">
      <c r="A24" s="8" t="s">
        <v>33</v>
      </c>
      <c r="B24" s="9" t="s">
        <v>34</v>
      </c>
      <c r="C24" s="9" t="s">
        <v>71</v>
      </c>
      <c r="D24" s="9" t="s">
        <v>107</v>
      </c>
      <c r="E24" s="9" t="s">
        <v>108</v>
      </c>
      <c r="F24" s="10" t="s">
        <v>109</v>
      </c>
    </row>
    <row r="25" spans="1:12" x14ac:dyDescent="0.25">
      <c r="A25" s="2" t="str">
        <f>A6</f>
        <v>VF-001</v>
      </c>
      <c r="B25" t="str">
        <f>B6</f>
        <v>Omega-3 Fish Oil 90 caps</v>
      </c>
      <c r="C25">
        <f>D6</f>
        <v>850</v>
      </c>
      <c r="D25" s="48">
        <f>C6</f>
        <v>8.5</v>
      </c>
      <c r="E25" s="48">
        <f>C25*D25</f>
        <v>7225</v>
      </c>
      <c r="F25" s="3">
        <f>SUMIF($B$14:$B$20,A25,$D$14:$D$20)</f>
        <v>2200</v>
      </c>
      <c r="H25" s="37"/>
    </row>
    <row r="26" spans="1:12" x14ac:dyDescent="0.25">
      <c r="A26" s="2" t="str">
        <f t="shared" ref="A26:B29" si="3">A7</f>
        <v>VF-002</v>
      </c>
      <c r="B26" t="str">
        <f t="shared" si="3"/>
        <v>Magnesium Complex 60 caps</v>
      </c>
      <c r="C26">
        <f t="shared" ref="C26:C29" si="4">D7</f>
        <v>520</v>
      </c>
      <c r="D26" s="48">
        <f t="shared" ref="D26:D29" si="5">C7</f>
        <v>6.8</v>
      </c>
      <c r="E26" s="48">
        <f t="shared" ref="E26:E29" si="6">C26*D26</f>
        <v>3536</v>
      </c>
      <c r="F26" s="3">
        <f t="shared" ref="F26:F29" si="7">SUMIF($B$14:$B$20,A26,$D$14:$D$20)</f>
        <v>800</v>
      </c>
    </row>
    <row r="27" spans="1:12" x14ac:dyDescent="0.25">
      <c r="A27" s="2" t="str">
        <f t="shared" si="3"/>
        <v>VF-003</v>
      </c>
      <c r="B27" t="str">
        <f t="shared" si="3"/>
        <v>Vitamin D3 120 caps</v>
      </c>
      <c r="C27">
        <f t="shared" si="4"/>
        <v>430</v>
      </c>
      <c r="D27" s="48">
        <f t="shared" si="5"/>
        <v>5.9</v>
      </c>
      <c r="E27" s="48">
        <f t="shared" si="6"/>
        <v>2537</v>
      </c>
      <c r="F27" s="3">
        <f t="shared" si="7"/>
        <v>1600</v>
      </c>
    </row>
    <row r="28" spans="1:12" x14ac:dyDescent="0.25">
      <c r="A28" s="2" t="str">
        <f t="shared" si="3"/>
        <v>VF-004</v>
      </c>
      <c r="B28" t="str">
        <f t="shared" si="3"/>
        <v>Collagen Peptides 500g</v>
      </c>
      <c r="C28">
        <f t="shared" si="4"/>
        <v>310</v>
      </c>
      <c r="D28" s="48">
        <f t="shared" si="5"/>
        <v>12.4</v>
      </c>
      <c r="E28" s="48">
        <f t="shared" si="6"/>
        <v>3844</v>
      </c>
      <c r="F28" s="3">
        <f t="shared" si="7"/>
        <v>600</v>
      </c>
    </row>
    <row r="29" spans="1:12" x14ac:dyDescent="0.25">
      <c r="A29" s="2" t="str">
        <f t="shared" si="3"/>
        <v>VF-005</v>
      </c>
      <c r="B29" t="str">
        <f t="shared" si="3"/>
        <v>Probiotic Blend 30 caps</v>
      </c>
      <c r="C29">
        <f t="shared" si="4"/>
        <v>680</v>
      </c>
      <c r="D29" s="48">
        <f t="shared" si="5"/>
        <v>9.1999999999999993</v>
      </c>
      <c r="E29" s="48">
        <f t="shared" si="6"/>
        <v>6255.9999999999991</v>
      </c>
      <c r="F29" s="3">
        <f t="shared" si="7"/>
        <v>1000</v>
      </c>
    </row>
    <row r="30" spans="1:12" x14ac:dyDescent="0.25">
      <c r="A30" s="11" t="s">
        <v>110</v>
      </c>
      <c r="B30" s="12"/>
      <c r="C30" s="12"/>
      <c r="D30" s="12"/>
      <c r="E30" s="49">
        <f>SUM(E25:E29)</f>
        <v>23398</v>
      </c>
      <c r="F30" s="50">
        <f>SUM(F25:F29)</f>
        <v>6200</v>
      </c>
    </row>
  </sheetData>
  <mergeCells count="6">
    <mergeCell ref="A23:F23"/>
    <mergeCell ref="A21:E21"/>
    <mergeCell ref="A1:L1"/>
    <mergeCell ref="A2:L2"/>
    <mergeCell ref="A4:L4"/>
    <mergeCell ref="A12:L12"/>
  </mergeCells>
  <phoneticPr fontId="12" type="noConversion"/>
  <conditionalFormatting sqref="I6:I10">
    <cfRule type="containsText" dxfId="7" priority="1" operator="containsText" text="CRITICAL">
      <formula>NOT(ISERROR(SEARCH("CRITICAL",I6)))</formula>
    </cfRule>
    <cfRule type="containsText" dxfId="6" priority="2" operator="containsText" text="REORDER">
      <formula>NOT(ISERROR(SEARCH("REORDER",I6)))</formula>
    </cfRule>
    <cfRule type="containsText" dxfId="5" priority="3" operator="containsText" text="OK">
      <formula>NOT(ISERROR(SEARCH("OK",I6)))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C2BE32-D91D-4CEC-8CC0-E29BF2AF8723}">
          <x14:formula1>
            <xm:f>ASSUMPTIONS!$B$34:$B$38</xm:f>
          </x14:formula1>
          <xm:sqref>C14:C20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0573-9912-47D8-B6C8-4B38656BE1AC}">
  <sheetPr>
    <tabColor theme="4" tint="-0.499984740745262"/>
  </sheetPr>
  <dimension ref="A1:J31"/>
  <sheetViews>
    <sheetView workbookViewId="0">
      <pane ySplit="1" topLeftCell="A5" activePane="bottomLeft" state="frozen"/>
      <selection pane="bottomLeft" activeCell="J28" sqref="J28"/>
    </sheetView>
  </sheetViews>
  <sheetFormatPr defaultRowHeight="15" x14ac:dyDescent="0.25"/>
  <cols>
    <col min="1" max="1" width="15.7109375" customWidth="1"/>
    <col min="2" max="2" width="30.7109375" customWidth="1"/>
    <col min="3" max="3" width="16.7109375" customWidth="1"/>
    <col min="4" max="4" width="18.7109375" customWidth="1"/>
  </cols>
  <sheetData>
    <row r="1" spans="1:10" ht="18.75" x14ac:dyDescent="0.3">
      <c r="A1" s="137" t="s">
        <v>111</v>
      </c>
      <c r="B1" s="137"/>
      <c r="C1" s="137"/>
      <c r="D1" s="137"/>
      <c r="E1" s="137"/>
      <c r="F1" s="137"/>
      <c r="G1" s="137"/>
      <c r="H1" s="137"/>
      <c r="I1" s="137"/>
      <c r="J1" s="137"/>
    </row>
    <row r="2" spans="1:10" x14ac:dyDescent="0.25">
      <c r="A2" s="138" t="s">
        <v>112</v>
      </c>
      <c r="B2" s="138"/>
      <c r="C2" s="138"/>
      <c r="D2" s="138"/>
      <c r="E2" s="138"/>
      <c r="F2" s="138"/>
      <c r="G2" s="138"/>
      <c r="H2" s="138"/>
      <c r="I2" s="138"/>
      <c r="J2" s="138"/>
    </row>
    <row r="4" spans="1:10" x14ac:dyDescent="0.25">
      <c r="A4" s="139" t="s">
        <v>113</v>
      </c>
      <c r="B4" s="139"/>
      <c r="C4" s="139"/>
      <c r="D4" s="139"/>
      <c r="E4" s="139"/>
      <c r="F4" s="139"/>
      <c r="G4" s="139"/>
      <c r="H4" s="139"/>
      <c r="I4" s="139"/>
      <c r="J4" s="139"/>
    </row>
    <row r="5" spans="1:10" x14ac:dyDescent="0.25">
      <c r="A5" s="54" t="s">
        <v>114</v>
      </c>
      <c r="B5" s="55" t="s">
        <v>129</v>
      </c>
      <c r="C5" s="54" t="s">
        <v>116</v>
      </c>
      <c r="D5" s="56" t="s">
        <v>115</v>
      </c>
      <c r="E5" s="57">
        <f>IF(B5="Best",ASSUMPTIONS!$B$13, IF(B5="Conservative",ASSUMPTIONS!$B$14,ASSUMPTIONS!$B$12))</f>
        <v>0.1</v>
      </c>
      <c r="F5" s="54"/>
    </row>
    <row r="7" spans="1:10" x14ac:dyDescent="0.25">
      <c r="A7" s="140" t="s">
        <v>117</v>
      </c>
      <c r="B7" s="141"/>
      <c r="C7" s="141"/>
      <c r="D7" s="141"/>
      <c r="E7" s="141"/>
      <c r="F7" s="141"/>
      <c r="G7" s="141"/>
      <c r="H7" s="141"/>
      <c r="I7" s="141"/>
      <c r="J7" s="142"/>
    </row>
    <row r="8" spans="1:10" x14ac:dyDescent="0.25">
      <c r="A8" s="43" t="s">
        <v>33</v>
      </c>
      <c r="B8" s="44" t="s">
        <v>34</v>
      </c>
      <c r="C8" s="65">
        <v>45658</v>
      </c>
      <c r="D8" s="65">
        <v>45689</v>
      </c>
      <c r="E8" s="65">
        <v>45717</v>
      </c>
      <c r="F8" s="65">
        <v>45748</v>
      </c>
      <c r="G8" s="65">
        <v>45778</v>
      </c>
      <c r="H8" s="65">
        <v>45809</v>
      </c>
      <c r="I8" s="44" t="s">
        <v>118</v>
      </c>
      <c r="J8" s="45" t="s">
        <v>119</v>
      </c>
    </row>
    <row r="9" spans="1:10" x14ac:dyDescent="0.25">
      <c r="A9" s="2" t="str">
        <f>ASSUMPTIONS!A34</f>
        <v>VF-001</v>
      </c>
      <c r="B9" t="str">
        <f>ASSUMPTIONS!B34</f>
        <v>Omega-3 Fish Oil 90 caps</v>
      </c>
      <c r="C9" s="27">
        <f>ROUND('SALES DATA'!N5*(1+'DEMAND FORECAST'!$E$5)*'DEMAND FORECAST'!$B$18,0)</f>
        <v>604</v>
      </c>
      <c r="D9" s="27">
        <f>ROUND(C9*(1+$E$5)*$B$19,0)</f>
        <v>598</v>
      </c>
      <c r="E9" s="27">
        <f>ROUND(D9*(1+$E$5)*$B$20,0)</f>
        <v>592</v>
      </c>
      <c r="F9" s="27">
        <f>ROUND(E9*(1+$E$5)*B21,0)</f>
        <v>651</v>
      </c>
      <c r="G9" s="27">
        <f>ROUND(F9*(1+$E$5)*B22,0)</f>
        <v>716</v>
      </c>
      <c r="H9" s="27">
        <f>ROUND(G9*(1+$E$5)*B23,0)</f>
        <v>788</v>
      </c>
      <c r="I9" s="66">
        <f>SUM(C9:H9)</f>
        <v>3949</v>
      </c>
      <c r="J9" s="67">
        <f>I9*VLOOKUP(A9,ASSUMPTIONS!$A$34:$C$38,3,0)</f>
        <v>98685.51</v>
      </c>
    </row>
    <row r="10" spans="1:10" x14ac:dyDescent="0.25">
      <c r="A10" s="2" t="str">
        <f>ASSUMPTIONS!A35</f>
        <v>VF-002</v>
      </c>
      <c r="B10" t="str">
        <f>ASSUMPTIONS!B35</f>
        <v>Magnesium Complex 60 caps</v>
      </c>
      <c r="C10" s="27">
        <f>ROUND('SALES DATA'!N6*(1+'DEMAND FORECAST'!$E$5)*'DEMAND FORECAST'!$B$18,0)</f>
        <v>446</v>
      </c>
      <c r="D10" s="27">
        <f>ROUND(C10*(1+$E$5)*$B$19,0)</f>
        <v>442</v>
      </c>
      <c r="E10" s="27">
        <f>ROUND(D10*(1+$E$5)*$B$20,0)</f>
        <v>438</v>
      </c>
      <c r="F10" s="27">
        <f>ROUND(E10*(1+$E$5)*B21,0)</f>
        <v>482</v>
      </c>
      <c r="G10" s="27">
        <f>ROUND(F10*(1+$E$5)*B22,0)</f>
        <v>530</v>
      </c>
      <c r="H10" s="27">
        <f>ROUND(G10*(1+$E$5)*B23,0)</f>
        <v>583</v>
      </c>
      <c r="I10" s="66">
        <f t="shared" ref="I10:I13" si="0">SUM(C10:H10)</f>
        <v>2921</v>
      </c>
      <c r="J10" s="67">
        <f>I10*VLOOKUP(A10,ASSUMPTIONS!$A$34:$C$38,3,0)</f>
        <v>58390.789999999994</v>
      </c>
    </row>
    <row r="11" spans="1:10" x14ac:dyDescent="0.25">
      <c r="A11" s="2" t="str">
        <f>ASSUMPTIONS!A36</f>
        <v>VF-003</v>
      </c>
      <c r="B11" t="str">
        <f>ASSUMPTIONS!B36</f>
        <v>Vitamin D3 120 caps</v>
      </c>
      <c r="C11" s="27">
        <f>ROUND('SALES DATA'!N7*(1+'DEMAND FORECAST'!$E$5)*'DEMAND FORECAST'!$B$18,0)</f>
        <v>396</v>
      </c>
      <c r="D11" s="27">
        <f>ROUND(C11*(1+$E$5)*$B$19,0)</f>
        <v>392</v>
      </c>
      <c r="E11" s="27">
        <f>ROUND(D11*(1+$E$5)*$B$20,0)</f>
        <v>388</v>
      </c>
      <c r="F11" s="27">
        <f>ROUND(E11*(1+$E$5)*B21,0)</f>
        <v>427</v>
      </c>
      <c r="G11" s="27">
        <f>ROUND(F11*(1+$E$5)*B22,0)</f>
        <v>470</v>
      </c>
      <c r="H11" s="27">
        <f>ROUND(G11*(1+$E$5)*B23,0)</f>
        <v>517</v>
      </c>
      <c r="I11" s="66">
        <f t="shared" si="0"/>
        <v>2590</v>
      </c>
      <c r="J11" s="67">
        <f>I11*VLOOKUP(A11,ASSUMPTIONS!$A$34:$C$38,3,0)</f>
        <v>46594.1</v>
      </c>
    </row>
    <row r="12" spans="1:10" x14ac:dyDescent="0.25">
      <c r="A12" s="2" t="str">
        <f>ASSUMPTIONS!A37</f>
        <v>VF-004</v>
      </c>
      <c r="B12" t="str">
        <f>ASSUMPTIONS!B37</f>
        <v>Collagen Peptides 500g</v>
      </c>
      <c r="C12" s="27">
        <f>ROUND('SALES DATA'!N8*(1+'DEMAND FORECAST'!$E$5)*'DEMAND FORECAST'!$B$18,0)</f>
        <v>317</v>
      </c>
      <c r="D12" s="27">
        <f>ROUND(C12*(1+$E$5)*$B$19,0)</f>
        <v>314</v>
      </c>
      <c r="E12" s="27">
        <f>ROUND(D12*(1+$E$5)*$B$20,0)</f>
        <v>311</v>
      </c>
      <c r="F12" s="27">
        <f>ROUND(E12*(1+$E$5)*B21,0)</f>
        <v>342</v>
      </c>
      <c r="G12" s="27">
        <f>ROUND(F12*(1+$E$5)*B22,0)</f>
        <v>376</v>
      </c>
      <c r="H12" s="27">
        <f>ROUND(G12*(1+$E$5)*B23,0)</f>
        <v>414</v>
      </c>
      <c r="I12" s="66">
        <f t="shared" si="0"/>
        <v>2074</v>
      </c>
      <c r="J12" s="67">
        <f>I12*VLOOKUP(A12,ASSUMPTIONS!$A$34:$C$38,3,0)</f>
        <v>72569.260000000009</v>
      </c>
    </row>
    <row r="13" spans="1:10" x14ac:dyDescent="0.25">
      <c r="A13" s="2" t="str">
        <f>ASSUMPTIONS!A38</f>
        <v>VF-005</v>
      </c>
      <c r="B13" t="str">
        <f>ASSUMPTIONS!B38</f>
        <v>Probiotic Blend 30 caps</v>
      </c>
      <c r="C13" s="27">
        <f>ROUND('SALES DATA'!N9*(1+'DEMAND FORECAST'!$E$5)*'DEMAND FORECAST'!$B$18,0)</f>
        <v>505</v>
      </c>
      <c r="D13" s="27">
        <f>ROUND(C13*(1+$E$5)*$B$19,0)</f>
        <v>500</v>
      </c>
      <c r="E13" s="27">
        <f>ROUND(D13*(1+$E$5)*$B$20,0)</f>
        <v>495</v>
      </c>
      <c r="F13" s="27">
        <f>ROUND(E13*(1+$E$5)*B21,0)</f>
        <v>545</v>
      </c>
      <c r="G13" s="27">
        <f>ROUND(F13*(1+$E$5)*B22,0)</f>
        <v>600</v>
      </c>
      <c r="H13" s="27">
        <f>ROUND(G13*(1+$E$5)*B23,0)</f>
        <v>660</v>
      </c>
      <c r="I13" s="66">
        <f t="shared" si="0"/>
        <v>3305</v>
      </c>
      <c r="J13" s="67">
        <f>I13*VLOOKUP(A13,ASSUMPTIONS!$A$34:$C$38,3,0)</f>
        <v>99116.95</v>
      </c>
    </row>
    <row r="14" spans="1:10" x14ac:dyDescent="0.25">
      <c r="A14" s="143" t="s">
        <v>61</v>
      </c>
      <c r="B14" s="144"/>
      <c r="C14" s="70">
        <f>SUM(C9:C13)</f>
        <v>2268</v>
      </c>
      <c r="D14" s="70">
        <f t="shared" ref="D14:J14" si="1">SUM(D9:D13)</f>
        <v>2246</v>
      </c>
      <c r="E14" s="70">
        <f t="shared" si="1"/>
        <v>2224</v>
      </c>
      <c r="F14" s="70">
        <f t="shared" si="1"/>
        <v>2447</v>
      </c>
      <c r="G14" s="70">
        <f t="shared" si="1"/>
        <v>2692</v>
      </c>
      <c r="H14" s="70">
        <f t="shared" si="1"/>
        <v>2962</v>
      </c>
      <c r="I14" s="68">
        <f t="shared" si="1"/>
        <v>14839</v>
      </c>
      <c r="J14" s="69">
        <f t="shared" si="1"/>
        <v>375356.61000000004</v>
      </c>
    </row>
    <row r="15" spans="1:10" x14ac:dyDescent="0.25">
      <c r="A15" s="145" t="s">
        <v>217</v>
      </c>
      <c r="B15" s="145"/>
      <c r="C15" s="133" cm="1">
        <f t="array" ref="C15">SUMPRODUCT(C$9:C$13,VLOOKUP($A$9:$A$13,ASSUMPTIONS!$A$34:$C$38,3,0))</f>
        <v>57370.32</v>
      </c>
      <c r="D15" s="133" cm="1">
        <f t="array" ref="D15">SUMPRODUCT(D$9:D$13,VLOOKUP($A$9:$A$13,ASSUMPTIONS!$A$34:$C$38,3,0))</f>
        <v>56813.539999999994</v>
      </c>
      <c r="E15" s="133" cm="1">
        <f t="array" ref="E15">SUMPRODUCT(E$9:E$13,VLOOKUP($A$9:$A$13,ASSUMPTIONS!$A$34:$C$38,3,0))</f>
        <v>56256.759999999995</v>
      </c>
      <c r="F15" s="133" cm="1">
        <f t="array" ref="F15">SUMPRODUCT(F$9:F$13,VLOOKUP($A$9:$A$13,ASSUMPTIONS!$A$34:$C$38,3,0))</f>
        <v>61896.53</v>
      </c>
      <c r="G15" s="133" cm="1">
        <f t="array" ref="G15">SUMPRODUCT(G$9:G$13,VLOOKUP($A$9:$A$13,ASSUMPTIONS!$A$34:$C$38,3,0))</f>
        <v>68093.08</v>
      </c>
      <c r="H15" s="133" cm="1">
        <f t="array" ref="H15">SUMPRODUCT(H$9:H$13,VLOOKUP($A$9:$A$13,ASSUMPTIONS!$A$34:$C$38,3,0))</f>
        <v>74926.37999999999</v>
      </c>
      <c r="I15" s="133" cm="1">
        <f t="array" ref="I15">SUMPRODUCT(I$9:I$13,VLOOKUP($A$9:$A$13,ASSUMPTIONS!$A$34:$C$38,3,0))</f>
        <v>375356.61000000004</v>
      </c>
      <c r="J15" s="64"/>
    </row>
    <row r="16" spans="1:10" x14ac:dyDescent="0.25">
      <c r="A16" s="59" t="s">
        <v>120</v>
      </c>
      <c r="B16" s="61"/>
    </row>
    <row r="17" spans="1:10" x14ac:dyDescent="0.25">
      <c r="A17" s="63" t="s">
        <v>121</v>
      </c>
      <c r="B17" s="63" t="s">
        <v>122</v>
      </c>
    </row>
    <row r="18" spans="1:10" x14ac:dyDescent="0.25">
      <c r="A18" s="51" t="s">
        <v>48</v>
      </c>
      <c r="B18" s="37">
        <f>1+ASSUMPTIONS!$B$17</f>
        <v>0.9</v>
      </c>
    </row>
    <row r="19" spans="1:10" x14ac:dyDescent="0.25">
      <c r="A19" s="51" t="s">
        <v>49</v>
      </c>
      <c r="B19" s="37">
        <f>1+ASSUMPTIONS!$B$17</f>
        <v>0.9</v>
      </c>
    </row>
    <row r="20" spans="1:10" x14ac:dyDescent="0.25">
      <c r="A20" s="51" t="s">
        <v>50</v>
      </c>
      <c r="B20" s="37">
        <f>1+ASSUMPTIONS!$B$17</f>
        <v>0.9</v>
      </c>
    </row>
    <row r="21" spans="1:10" x14ac:dyDescent="0.25">
      <c r="A21" s="51" t="s">
        <v>51</v>
      </c>
      <c r="B21" s="37">
        <v>1</v>
      </c>
    </row>
    <row r="22" spans="1:10" x14ac:dyDescent="0.25">
      <c r="A22" s="51" t="s">
        <v>52</v>
      </c>
      <c r="B22" s="37">
        <v>1</v>
      </c>
    </row>
    <row r="23" spans="1:10" x14ac:dyDescent="0.25">
      <c r="A23" s="51" t="s">
        <v>53</v>
      </c>
      <c r="B23" s="37">
        <v>1</v>
      </c>
    </row>
    <row r="25" spans="1:10" x14ac:dyDescent="0.25">
      <c r="A25" s="136" t="s">
        <v>123</v>
      </c>
      <c r="B25" s="136"/>
      <c r="C25" s="136"/>
      <c r="D25" s="136"/>
      <c r="E25" s="136"/>
      <c r="F25" s="136"/>
      <c r="G25" s="136"/>
      <c r="H25" s="136"/>
      <c r="I25" s="136"/>
      <c r="J25" s="136"/>
    </row>
    <row r="26" spans="1:10" ht="45" x14ac:dyDescent="0.25">
      <c r="A26" s="132" t="s">
        <v>33</v>
      </c>
      <c r="B26" s="132" t="s">
        <v>34</v>
      </c>
      <c r="C26" s="132" t="s">
        <v>124</v>
      </c>
      <c r="D26" s="132" t="s">
        <v>125</v>
      </c>
      <c r="E26" s="132" t="s">
        <v>109</v>
      </c>
      <c r="F26" s="132" t="s">
        <v>126</v>
      </c>
      <c r="G26" s="147" t="s">
        <v>127</v>
      </c>
      <c r="H26" s="147"/>
      <c r="I26" s="147" t="s">
        <v>128</v>
      </c>
      <c r="J26" s="147"/>
    </row>
    <row r="27" spans="1:10" x14ac:dyDescent="0.25">
      <c r="A27" t="str">
        <f t="shared" ref="A27:B31" si="2">A9</f>
        <v>VF-001</v>
      </c>
      <c r="B27" t="str">
        <f t="shared" si="2"/>
        <v>Omega-3 Fish Oil 90 caps</v>
      </c>
      <c r="C27">
        <f>INVENTORY!D6</f>
        <v>850</v>
      </c>
      <c r="D27" s="38">
        <f>I9</f>
        <v>3949</v>
      </c>
      <c r="E27">
        <f>INVENTORY!F25</f>
        <v>2200</v>
      </c>
      <c r="F27" s="38">
        <f>C27-D27+E27</f>
        <v>-899</v>
      </c>
      <c r="G27" s="146" t="str">
        <f>IF(F27&lt;0,"🔴 STOCKOUT RISK",IF(F27&lt;INVENTORY!H6,"🟡 LOW STOCK","🟢 SUFFICIENT"))</f>
        <v>🔴 STOCKOUT RISK</v>
      </c>
      <c r="H27" s="146"/>
      <c r="I27" t="str">
        <f>IF(F27&lt;0,"Raise PO immediately",IF(F27&lt;INVENTORY!H6,"Monitor closely","No action needed"))</f>
        <v>Raise PO immediately</v>
      </c>
    </row>
    <row r="28" spans="1:10" x14ac:dyDescent="0.25">
      <c r="A28" t="str">
        <f t="shared" si="2"/>
        <v>VF-002</v>
      </c>
      <c r="B28" t="str">
        <f t="shared" si="2"/>
        <v>Magnesium Complex 60 caps</v>
      </c>
      <c r="C28">
        <f>INVENTORY!D7</f>
        <v>520</v>
      </c>
      <c r="D28" s="38">
        <f>I10</f>
        <v>2921</v>
      </c>
      <c r="E28">
        <f>INVENTORY!F26</f>
        <v>800</v>
      </c>
      <c r="F28" s="38">
        <f t="shared" ref="F28:F31" si="3">C28-D28+E28</f>
        <v>-1601</v>
      </c>
      <c r="G28" s="146" t="str">
        <f>IF(F28&lt;0,"🔴 STOCKOUT RISK",IF(F28&lt;INVENTORY!H7,"🟡 LOW STOCK","🟢 SUFFICIENT"))</f>
        <v>🔴 STOCKOUT RISK</v>
      </c>
      <c r="H28" s="146"/>
      <c r="I28" t="str">
        <f>IF(F28&lt;0,"Raise PO immediately",IF(F28&lt;INVENTORY!H7,"Monitor closely","No action needed"))</f>
        <v>Raise PO immediately</v>
      </c>
    </row>
    <row r="29" spans="1:10" x14ac:dyDescent="0.25">
      <c r="A29" t="str">
        <f t="shared" si="2"/>
        <v>VF-003</v>
      </c>
      <c r="B29" t="str">
        <f t="shared" si="2"/>
        <v>Vitamin D3 120 caps</v>
      </c>
      <c r="C29">
        <f>INVENTORY!D8</f>
        <v>430</v>
      </c>
      <c r="D29" s="38">
        <f>I11</f>
        <v>2590</v>
      </c>
      <c r="E29">
        <f>INVENTORY!F27</f>
        <v>1600</v>
      </c>
      <c r="F29" s="38">
        <f t="shared" si="3"/>
        <v>-560</v>
      </c>
      <c r="G29" s="146" t="str">
        <f>IF(F29&lt;0,"🔴 STOCKOUT RISK",IF(F29&lt;INVENTORY!H8,"🟡 LOW STOCK","🟢 SUFFICIENT"))</f>
        <v>🔴 STOCKOUT RISK</v>
      </c>
      <c r="H29" s="146"/>
      <c r="I29" t="str">
        <f>IF(F29&lt;0,"Raise PO immediately",IF(F29&lt;INVENTORY!H8,"Monitor closely","No action needed"))</f>
        <v>Raise PO immediately</v>
      </c>
    </row>
    <row r="30" spans="1:10" x14ac:dyDescent="0.25">
      <c r="A30" t="str">
        <f t="shared" si="2"/>
        <v>VF-004</v>
      </c>
      <c r="B30" t="str">
        <f t="shared" si="2"/>
        <v>Collagen Peptides 500g</v>
      </c>
      <c r="C30">
        <f>INVENTORY!D9</f>
        <v>310</v>
      </c>
      <c r="D30" s="38">
        <f>I12</f>
        <v>2074</v>
      </c>
      <c r="E30">
        <f>INVENTORY!F28</f>
        <v>600</v>
      </c>
      <c r="F30" s="38">
        <f t="shared" si="3"/>
        <v>-1164</v>
      </c>
      <c r="G30" s="146" t="str">
        <f>IF(F30&lt;0,"🔴 STOCKOUT RISK",IF(F30&lt;INVENTORY!H9,"🟡 LOW STOCK","🟢 SUFFICIENT"))</f>
        <v>🔴 STOCKOUT RISK</v>
      </c>
      <c r="H30" s="146"/>
      <c r="I30" t="str">
        <f>IF(F30&lt;0,"Raise PO immediately",IF(F30&lt;INVENTORY!H9,"Monitor closely","No action needed"))</f>
        <v>Raise PO immediately</v>
      </c>
    </row>
    <row r="31" spans="1:10" x14ac:dyDescent="0.25">
      <c r="A31" t="str">
        <f t="shared" si="2"/>
        <v>VF-005</v>
      </c>
      <c r="B31" t="str">
        <f t="shared" si="2"/>
        <v>Probiotic Blend 30 caps</v>
      </c>
      <c r="C31">
        <f>INVENTORY!D10</f>
        <v>680</v>
      </c>
      <c r="D31" s="38">
        <f>I13</f>
        <v>3305</v>
      </c>
      <c r="E31">
        <f>INVENTORY!F29</f>
        <v>1000</v>
      </c>
      <c r="F31" s="38">
        <f t="shared" si="3"/>
        <v>-1625</v>
      </c>
      <c r="G31" s="146" t="str">
        <f>IF(F31&lt;0,"🔴 STOCKOUT RISK",IF(F31&lt;INVENTORY!H10,"🟡 LOW STOCK","🟢 SUFFICIENT"))</f>
        <v>🔴 STOCKOUT RISK</v>
      </c>
      <c r="H31" s="146"/>
      <c r="I31" t="str">
        <f>IF(F31&lt;0,"Raise PO immediately",IF(F31&lt;INVENTORY!H10,"Monitor closely","No action needed"))</f>
        <v>Raise PO immediately</v>
      </c>
    </row>
  </sheetData>
  <mergeCells count="14">
    <mergeCell ref="G30:H30"/>
    <mergeCell ref="G31:H31"/>
    <mergeCell ref="I26:J26"/>
    <mergeCell ref="G26:H26"/>
    <mergeCell ref="G27:H27"/>
    <mergeCell ref="G28:H28"/>
    <mergeCell ref="G29:H29"/>
    <mergeCell ref="A1:J1"/>
    <mergeCell ref="A2:J2"/>
    <mergeCell ref="A4:J4"/>
    <mergeCell ref="A7:J7"/>
    <mergeCell ref="A14:B14"/>
    <mergeCell ref="A15:B15"/>
    <mergeCell ref="A25:J25"/>
  </mergeCells>
  <phoneticPr fontId="1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8B1BAF-1A6B-4BC1-81E8-4FA62D65AD6A}">
          <x14:formula1>
            <xm:f>#REF!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3DAE-826A-4B2D-9F1F-0323D20F3FFA}">
  <sheetPr>
    <tabColor rgb="FFFF0000"/>
  </sheetPr>
  <dimension ref="A1:H30"/>
  <sheetViews>
    <sheetView showGridLines="0" zoomScale="110" zoomScaleNormal="110" workbookViewId="0">
      <pane ySplit="1" topLeftCell="A2" activePane="bottomLeft" state="frozen"/>
      <selection pane="bottomLeft" activeCell="P31" sqref="P31"/>
    </sheetView>
  </sheetViews>
  <sheetFormatPr defaultRowHeight="15" x14ac:dyDescent="0.25"/>
  <cols>
    <col min="1" max="1" width="32.7109375" customWidth="1"/>
    <col min="2" max="7" width="12" bestFit="1" customWidth="1"/>
    <col min="8" max="8" width="12.7109375" bestFit="1" customWidth="1"/>
  </cols>
  <sheetData>
    <row r="1" spans="1:8" ht="18.75" x14ac:dyDescent="0.3">
      <c r="A1" s="158" t="s">
        <v>130</v>
      </c>
      <c r="B1" s="158"/>
      <c r="C1" s="158"/>
      <c r="D1" s="158"/>
      <c r="E1" s="158"/>
      <c r="F1" s="158"/>
      <c r="G1" s="158"/>
      <c r="H1" s="158"/>
    </row>
    <row r="2" spans="1:8" x14ac:dyDescent="0.25">
      <c r="A2" s="167" t="s">
        <v>131</v>
      </c>
      <c r="B2" s="167"/>
      <c r="C2" s="167"/>
      <c r="D2" s="167"/>
      <c r="E2" s="167"/>
      <c r="F2" s="167"/>
      <c r="G2" s="167"/>
      <c r="H2" s="167"/>
    </row>
    <row r="4" spans="1:8" x14ac:dyDescent="0.25">
      <c r="A4" s="52" t="s">
        <v>132</v>
      </c>
      <c r="B4" s="71">
        <v>45658</v>
      </c>
      <c r="C4" s="71">
        <v>45689</v>
      </c>
      <c r="D4" s="71">
        <v>45717</v>
      </c>
      <c r="E4" s="71">
        <v>45748</v>
      </c>
      <c r="F4" s="71">
        <v>45778</v>
      </c>
      <c r="G4" s="71">
        <v>45809</v>
      </c>
      <c r="H4" s="53" t="s">
        <v>110</v>
      </c>
    </row>
    <row r="5" spans="1:8" x14ac:dyDescent="0.25">
      <c r="A5" s="72" t="s">
        <v>133</v>
      </c>
      <c r="B5" s="75">
        <f>ASSUMPTIONS!B28</f>
        <v>50000</v>
      </c>
      <c r="C5" s="75">
        <f>B21</f>
        <v>63418.34072</v>
      </c>
      <c r="D5" s="75">
        <f t="shared" ref="D5:H5" si="0">C21</f>
        <v>67494.008059999993</v>
      </c>
      <c r="E5" s="75">
        <f t="shared" si="0"/>
        <v>74625.002019999985</v>
      </c>
      <c r="F5" s="75">
        <f t="shared" si="0"/>
        <v>98006.072649999987</v>
      </c>
      <c r="G5" s="75">
        <f t="shared" si="0"/>
        <v>118969.89332999999</v>
      </c>
      <c r="H5" s="75">
        <f t="shared" si="0"/>
        <v>144050.24831</v>
      </c>
    </row>
    <row r="7" spans="1:8" x14ac:dyDescent="0.25">
      <c r="A7" s="168" t="s">
        <v>134</v>
      </c>
      <c r="B7" s="168"/>
      <c r="C7" s="168"/>
      <c r="D7" s="168"/>
      <c r="E7" s="168"/>
      <c r="F7" s="168"/>
      <c r="G7" s="168"/>
      <c r="H7" s="168"/>
    </row>
    <row r="8" spans="1:8" x14ac:dyDescent="0.25">
      <c r="A8" t="s">
        <v>135</v>
      </c>
      <c r="B8">
        <f>'DEMAND FORECAST'!C$15*(1-ASSUMPTIONS!$B$31)</f>
        <v>55706.580719999998</v>
      </c>
      <c r="C8">
        <f>'DEMAND FORECAST'!D$15*(1-ASSUMPTIONS!$B$31)</f>
        <v>55165.947339999992</v>
      </c>
      <c r="D8">
        <f>'DEMAND FORECAST'!E$15*(1-ASSUMPTIONS!$B$31)</f>
        <v>54625.313959999992</v>
      </c>
      <c r="E8">
        <f>'DEMAND FORECAST'!F$15*(1-ASSUMPTIONS!$B$31)</f>
        <v>60101.530629999994</v>
      </c>
      <c r="F8">
        <f>'DEMAND FORECAST'!G$15*(1-ASSUMPTIONS!$B$31)</f>
        <v>66118.380680000002</v>
      </c>
      <c r="G8">
        <f>'DEMAND FORECAST'!H$15*(1-ASSUMPTIONS!$B$31)</f>
        <v>72753.514979999993</v>
      </c>
      <c r="H8">
        <f>SUM(B8:G8)</f>
        <v>364471.26830999996</v>
      </c>
    </row>
    <row r="9" spans="1:8" x14ac:dyDescent="0.25">
      <c r="A9" t="s">
        <v>136</v>
      </c>
      <c r="B9">
        <v>320</v>
      </c>
      <c r="C9">
        <v>290</v>
      </c>
      <c r="D9">
        <v>310</v>
      </c>
      <c r="E9">
        <v>350</v>
      </c>
      <c r="F9">
        <v>330</v>
      </c>
      <c r="G9">
        <v>360</v>
      </c>
      <c r="H9">
        <f>SUM(B9:G9)</f>
        <v>1960</v>
      </c>
    </row>
    <row r="10" spans="1:8" x14ac:dyDescent="0.25">
      <c r="A10" s="76" t="s">
        <v>137</v>
      </c>
      <c r="B10" s="77">
        <f>SUM(B8:B9)</f>
        <v>56026.580719999998</v>
      </c>
      <c r="C10" s="77">
        <f t="shared" ref="C10:H10" si="1">SUM(C8:C9)</f>
        <v>55455.947339999992</v>
      </c>
      <c r="D10" s="77">
        <f t="shared" si="1"/>
        <v>54935.313959999992</v>
      </c>
      <c r="E10" s="77">
        <f t="shared" si="1"/>
        <v>60451.530629999994</v>
      </c>
      <c r="F10" s="77">
        <f t="shared" si="1"/>
        <v>66448.380680000002</v>
      </c>
      <c r="G10" s="77">
        <f t="shared" si="1"/>
        <v>73113.514979999993</v>
      </c>
      <c r="H10" s="77">
        <f t="shared" si="1"/>
        <v>366431.26830999996</v>
      </c>
    </row>
    <row r="12" spans="1:8" x14ac:dyDescent="0.25">
      <c r="A12" s="136" t="s">
        <v>138</v>
      </c>
      <c r="B12" s="136"/>
      <c r="C12" s="136"/>
      <c r="D12" s="136"/>
      <c r="E12" s="136"/>
      <c r="F12" s="136"/>
      <c r="G12" s="136"/>
      <c r="H12" s="136"/>
    </row>
    <row r="13" spans="1:8" x14ac:dyDescent="0.25">
      <c r="A13" t="s">
        <v>139</v>
      </c>
      <c r="B13" s="78">
        <v>10200</v>
      </c>
      <c r="C13" s="78">
        <v>18976</v>
      </c>
      <c r="D13" s="78">
        <v>14904</v>
      </c>
      <c r="E13" s="78">
        <v>4130</v>
      </c>
      <c r="F13" s="78">
        <v>12000</v>
      </c>
      <c r="G13" s="78">
        <v>14500</v>
      </c>
      <c r="H13" s="78">
        <f>SUM(B13:G13)</f>
        <v>74710</v>
      </c>
    </row>
    <row r="14" spans="1:8" x14ac:dyDescent="0.25">
      <c r="A14" t="s">
        <v>27</v>
      </c>
      <c r="B14" s="74">
        <f>ASSUMPTIONS!$B$29</f>
        <v>28000</v>
      </c>
      <c r="C14" s="74">
        <f>ASSUMPTIONS!$B$29</f>
        <v>28000</v>
      </c>
      <c r="D14" s="74">
        <f>ASSUMPTIONS!$B$29</f>
        <v>28000</v>
      </c>
      <c r="E14" s="74">
        <f>ASSUMPTIONS!$B$29</f>
        <v>28000</v>
      </c>
      <c r="F14" s="74">
        <f>ASSUMPTIONS!$B$29</f>
        <v>28000</v>
      </c>
      <c r="G14" s="74">
        <f>ASSUMPTIONS!$B$29</f>
        <v>28000</v>
      </c>
      <c r="H14" s="74">
        <f>SUM(B14:G14)</f>
        <v>168000</v>
      </c>
    </row>
    <row r="15" spans="1:8" x14ac:dyDescent="0.25">
      <c r="A15" t="s">
        <v>140</v>
      </c>
      <c r="B15" s="74">
        <f>ROUND(('DEMAND FORECAST'!C14/25)*ASSUMPTIONS!$B$30,2)</f>
        <v>408.24</v>
      </c>
      <c r="C15" s="74">
        <f>ROUND(('DEMAND FORECAST'!D14/25)*ASSUMPTIONS!$B$30,2)</f>
        <v>404.28</v>
      </c>
      <c r="D15" s="74">
        <f>ROUND(('DEMAND FORECAST'!E14/25)*ASSUMPTIONS!$B$30,2)</f>
        <v>400.32</v>
      </c>
      <c r="E15" s="74">
        <f>ROUND(('DEMAND FORECAST'!F14/25)*ASSUMPTIONS!$B$30,2)</f>
        <v>440.46</v>
      </c>
      <c r="F15" s="74">
        <f>ROUND(('DEMAND FORECAST'!G14/25)*ASSUMPTIONS!$B$30,2)</f>
        <v>484.56</v>
      </c>
      <c r="G15" s="74">
        <f>ROUND(('DEMAND FORECAST'!H14/25)*ASSUMPTIONS!$B$30,2)</f>
        <v>533.16</v>
      </c>
      <c r="H15" s="74">
        <f>SUM(B15:G15)</f>
        <v>2671.02</v>
      </c>
    </row>
    <row r="16" spans="1:8" x14ac:dyDescent="0.25">
      <c r="A16" t="s">
        <v>141</v>
      </c>
      <c r="B16" s="74">
        <v>3500</v>
      </c>
      <c r="C16" s="74">
        <v>3500</v>
      </c>
      <c r="D16" s="74">
        <v>4000</v>
      </c>
      <c r="E16" s="74">
        <v>4000</v>
      </c>
      <c r="F16" s="74">
        <v>4500</v>
      </c>
      <c r="G16" s="74">
        <v>4500</v>
      </c>
      <c r="H16" s="74">
        <f>SUM(B16:G16)</f>
        <v>24000</v>
      </c>
    </row>
    <row r="17" spans="1:8" x14ac:dyDescent="0.25">
      <c r="A17" t="s">
        <v>142</v>
      </c>
      <c r="B17" s="74">
        <v>500</v>
      </c>
      <c r="C17" s="74">
        <v>500</v>
      </c>
      <c r="D17" s="74">
        <v>500</v>
      </c>
      <c r="E17" s="74">
        <v>500</v>
      </c>
      <c r="F17" s="74">
        <v>500</v>
      </c>
      <c r="G17" s="74">
        <v>500</v>
      </c>
      <c r="H17" s="74">
        <f>SUM(B17:G17)</f>
        <v>3000</v>
      </c>
    </row>
    <row r="18" spans="1:8" x14ac:dyDescent="0.25">
      <c r="A18" s="79" t="s">
        <v>143</v>
      </c>
      <c r="B18" s="80">
        <f>SUM(B13:B17)</f>
        <v>42608.24</v>
      </c>
      <c r="C18" s="80">
        <f t="shared" ref="C18:H18" si="2">SUM(C13:C17)</f>
        <v>51380.28</v>
      </c>
      <c r="D18" s="80">
        <f t="shared" si="2"/>
        <v>47804.32</v>
      </c>
      <c r="E18" s="80">
        <f t="shared" si="2"/>
        <v>37070.46</v>
      </c>
      <c r="F18" s="80">
        <f t="shared" si="2"/>
        <v>45484.56</v>
      </c>
      <c r="G18" s="80">
        <f t="shared" si="2"/>
        <v>48033.16</v>
      </c>
      <c r="H18" s="80">
        <f t="shared" si="2"/>
        <v>272381.02</v>
      </c>
    </row>
    <row r="20" spans="1:8" x14ac:dyDescent="0.25">
      <c r="A20" s="62" t="s">
        <v>144</v>
      </c>
      <c r="B20" s="74">
        <f>B10-B18</f>
        <v>13418.34072</v>
      </c>
      <c r="C20" s="74">
        <f t="shared" ref="C20:H20" si="3">C10-C18</f>
        <v>4075.6673399999927</v>
      </c>
      <c r="D20" s="74">
        <f t="shared" si="3"/>
        <v>7130.9939599999925</v>
      </c>
      <c r="E20" s="74">
        <f t="shared" si="3"/>
        <v>23381.070629999995</v>
      </c>
      <c r="F20" s="74">
        <f t="shared" si="3"/>
        <v>20963.820680000004</v>
      </c>
      <c r="G20" s="74">
        <f t="shared" si="3"/>
        <v>25080.354979999989</v>
      </c>
      <c r="H20" s="74">
        <f t="shared" si="3"/>
        <v>94050.248309999937</v>
      </c>
    </row>
    <row r="21" spans="1:8" x14ac:dyDescent="0.25">
      <c r="A21" s="72" t="s">
        <v>145</v>
      </c>
      <c r="B21" s="75">
        <f>B5+B20</f>
        <v>63418.34072</v>
      </c>
      <c r="C21" s="75">
        <f t="shared" ref="C21:G21" si="4">C5+C20</f>
        <v>67494.008059999993</v>
      </c>
      <c r="D21" s="75">
        <f t="shared" si="4"/>
        <v>74625.002019999985</v>
      </c>
      <c r="E21" s="75">
        <f t="shared" si="4"/>
        <v>98006.072649999987</v>
      </c>
      <c r="F21" s="75">
        <f t="shared" si="4"/>
        <v>118969.89332999999</v>
      </c>
      <c r="G21" s="75">
        <f t="shared" si="4"/>
        <v>144050.24831</v>
      </c>
      <c r="H21" s="75">
        <f>G21</f>
        <v>144050.24831</v>
      </c>
    </row>
    <row r="23" spans="1:8" x14ac:dyDescent="0.25">
      <c r="A23" s="136" t="s">
        <v>146</v>
      </c>
      <c r="B23" s="136"/>
      <c r="C23" s="136"/>
      <c r="D23" s="136"/>
      <c r="E23" s="136"/>
      <c r="F23" s="136"/>
      <c r="G23" s="136"/>
      <c r="H23" s="136"/>
    </row>
    <row r="24" spans="1:8" ht="30" x14ac:dyDescent="0.25">
      <c r="A24" s="135" t="s">
        <v>121</v>
      </c>
      <c r="B24" s="135" t="s">
        <v>147</v>
      </c>
      <c r="C24" s="135" t="s">
        <v>148</v>
      </c>
      <c r="D24" s="135" t="s">
        <v>149</v>
      </c>
      <c r="E24" s="135" t="s">
        <v>150</v>
      </c>
      <c r="F24" s="64"/>
      <c r="G24" s="64"/>
      <c r="H24" s="64"/>
    </row>
    <row r="25" spans="1:8" x14ac:dyDescent="0.25">
      <c r="A25" s="58">
        <v>45658</v>
      </c>
      <c r="B25" s="74">
        <f>B21</f>
        <v>63418.34072</v>
      </c>
      <c r="C25" s="73">
        <f>ASSUMPTIONS!$B$29</f>
        <v>28000</v>
      </c>
      <c r="D25" s="74">
        <f>B25-C25</f>
        <v>35418.34072</v>
      </c>
      <c r="E25" t="str">
        <f>IF(B25&lt;0,"🔴 CASH NEGATIVE",IF(B25&lt;C25,"🟡 BELOW SAFE LEVEL","🟢 HEALTHY"))</f>
        <v>🟢 HEALTHY</v>
      </c>
    </row>
    <row r="26" spans="1:8" x14ac:dyDescent="0.25">
      <c r="A26" s="58">
        <v>45689</v>
      </c>
      <c r="B26" s="74">
        <f>C21</f>
        <v>67494.008059999993</v>
      </c>
      <c r="C26" s="73">
        <f>ASSUMPTIONS!$B$29</f>
        <v>28000</v>
      </c>
      <c r="D26" s="74">
        <f t="shared" ref="D26:D30" si="5">B26-C26</f>
        <v>39494.008059999993</v>
      </c>
      <c r="E26" t="str">
        <f t="shared" ref="E26:E30" si="6">IF(B26&lt;0,"🔴 CASH NEGATIVE",IF(B26&lt;C26,"🟡 BELOW SAFE LEVEL","🟢 HEALTHY"))</f>
        <v>🟢 HEALTHY</v>
      </c>
    </row>
    <row r="27" spans="1:8" x14ac:dyDescent="0.25">
      <c r="A27" s="58">
        <v>45717</v>
      </c>
      <c r="B27" s="74">
        <f>D21</f>
        <v>74625.002019999985</v>
      </c>
      <c r="C27" s="73">
        <f>ASSUMPTIONS!$B$29</f>
        <v>28000</v>
      </c>
      <c r="D27" s="74">
        <f t="shared" si="5"/>
        <v>46625.002019999985</v>
      </c>
      <c r="E27" t="str">
        <f t="shared" si="6"/>
        <v>🟢 HEALTHY</v>
      </c>
    </row>
    <row r="28" spans="1:8" x14ac:dyDescent="0.25">
      <c r="A28" s="58">
        <v>45748</v>
      </c>
      <c r="B28" s="74">
        <f>E21</f>
        <v>98006.072649999987</v>
      </c>
      <c r="C28" s="73">
        <f>ASSUMPTIONS!$B$29</f>
        <v>28000</v>
      </c>
      <c r="D28" s="74">
        <f t="shared" si="5"/>
        <v>70006.072649999987</v>
      </c>
      <c r="E28" t="str">
        <f t="shared" si="6"/>
        <v>🟢 HEALTHY</v>
      </c>
    </row>
    <row r="29" spans="1:8" x14ac:dyDescent="0.25">
      <c r="A29" s="58">
        <v>45778</v>
      </c>
      <c r="B29" s="74">
        <f>F21</f>
        <v>118969.89332999999</v>
      </c>
      <c r="C29" s="73">
        <f>ASSUMPTIONS!$B$29</f>
        <v>28000</v>
      </c>
      <c r="D29" s="74">
        <f t="shared" si="5"/>
        <v>90969.893329999992</v>
      </c>
      <c r="E29" t="str">
        <f t="shared" si="6"/>
        <v>🟢 HEALTHY</v>
      </c>
    </row>
    <row r="30" spans="1:8" x14ac:dyDescent="0.25">
      <c r="A30" s="58">
        <v>45809</v>
      </c>
      <c r="B30" s="74">
        <f>G21</f>
        <v>144050.24831</v>
      </c>
      <c r="C30" s="73">
        <f>ASSUMPTIONS!$B$29</f>
        <v>28000</v>
      </c>
      <c r="D30" s="74">
        <f t="shared" si="5"/>
        <v>116050.24831</v>
      </c>
      <c r="E30" t="str">
        <f t="shared" si="6"/>
        <v>🟢 HEALTHY</v>
      </c>
    </row>
  </sheetData>
  <mergeCells count="5">
    <mergeCell ref="A12:H12"/>
    <mergeCell ref="A23:H23"/>
    <mergeCell ref="A7:H7"/>
    <mergeCell ref="A1:H1"/>
    <mergeCell ref="A2:H2"/>
  </mergeCells>
  <conditionalFormatting sqref="B20:H20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E25:E30">
    <cfRule type="containsText" dxfId="2" priority="1" operator="containsText" text="healthy">
      <formula>NOT(ISERROR(SEARCH("healthy",E25)))</formula>
    </cfRule>
    <cfRule type="containsText" dxfId="1" priority="2" operator="containsText" text="below">
      <formula>NOT(ISERROR(SEARCH("below",E25)))</formula>
    </cfRule>
    <cfRule type="containsText" dxfId="0" priority="3" operator="containsText" text="negative">
      <formula>NOT(ISERROR(SEARCH("negative",E25)))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5260-84C6-4FD1-9879-E5ABC9C73605}">
  <sheetPr>
    <tabColor theme="0" tint="-0.499984740745262"/>
  </sheetPr>
  <dimension ref="A1:G43"/>
  <sheetViews>
    <sheetView showGridLines="0" zoomScaleNormal="100" workbookViewId="0">
      <pane ySplit="1" topLeftCell="A2" activePane="bottomLeft" state="frozen"/>
      <selection pane="bottomLeft" activeCell="G44" sqref="G44"/>
    </sheetView>
  </sheetViews>
  <sheetFormatPr defaultRowHeight="15" x14ac:dyDescent="0.25"/>
  <cols>
    <col min="1" max="1" width="35.7109375" customWidth="1"/>
    <col min="2" max="4" width="22.7109375" customWidth="1"/>
    <col min="5" max="5" width="20.7109375" customWidth="1"/>
  </cols>
  <sheetData>
    <row r="1" spans="1:5" ht="18.75" x14ac:dyDescent="0.3">
      <c r="A1" s="158" t="s">
        <v>151</v>
      </c>
      <c r="B1" s="158"/>
      <c r="C1" s="158"/>
      <c r="D1" s="158"/>
      <c r="E1" s="158"/>
    </row>
    <row r="2" spans="1:5" x14ac:dyDescent="0.25">
      <c r="A2" s="155" t="s">
        <v>152</v>
      </c>
      <c r="B2" s="155"/>
      <c r="C2" s="155"/>
      <c r="D2" s="155"/>
      <c r="E2" s="155"/>
    </row>
    <row r="4" spans="1:5" x14ac:dyDescent="0.25">
      <c r="A4" s="170" t="s">
        <v>153</v>
      </c>
      <c r="B4" s="170"/>
      <c r="C4" s="170"/>
      <c r="D4" s="170"/>
      <c r="E4" s="170"/>
    </row>
    <row r="5" spans="1:5" x14ac:dyDescent="0.25">
      <c r="A5" s="60" t="s">
        <v>154</v>
      </c>
      <c r="B5" s="60" t="s">
        <v>155</v>
      </c>
      <c r="C5" s="60" t="s">
        <v>156</v>
      </c>
      <c r="D5" s="60" t="s">
        <v>129</v>
      </c>
      <c r="E5" s="60" t="s">
        <v>157</v>
      </c>
    </row>
    <row r="6" spans="1:5" x14ac:dyDescent="0.25">
      <c r="A6" t="s">
        <v>158</v>
      </c>
      <c r="B6" s="81">
        <v>0.02</v>
      </c>
      <c r="C6" s="81">
        <v>0.05</v>
      </c>
      <c r="D6" s="81">
        <v>0.1</v>
      </c>
      <c r="E6" s="81">
        <f>ASSUMPTIONS!B12</f>
        <v>0.05</v>
      </c>
    </row>
    <row r="7" spans="1:5" x14ac:dyDescent="0.25">
      <c r="A7" t="s">
        <v>159</v>
      </c>
      <c r="B7" s="81">
        <v>0.15</v>
      </c>
      <c r="C7" s="81">
        <v>0.2</v>
      </c>
      <c r="D7" s="81">
        <v>0.3</v>
      </c>
      <c r="E7" s="81">
        <f>ASSUMPTIONS!B16</f>
        <v>0.2</v>
      </c>
    </row>
    <row r="8" spans="1:5" x14ac:dyDescent="0.25">
      <c r="A8" t="s">
        <v>160</v>
      </c>
      <c r="B8" s="81">
        <v>-0.15</v>
      </c>
      <c r="C8" s="81">
        <v>-0.1</v>
      </c>
      <c r="D8" s="81">
        <v>-0.05</v>
      </c>
      <c r="E8" s="81">
        <f>ASSUMPTIONS!B17</f>
        <v>-0.1</v>
      </c>
    </row>
    <row r="9" spans="1:5" x14ac:dyDescent="0.25">
      <c r="A9" t="s">
        <v>26</v>
      </c>
      <c r="B9" s="82">
        <v>50000</v>
      </c>
      <c r="C9" s="82">
        <v>50000</v>
      </c>
      <c r="D9" s="82">
        <v>50000</v>
      </c>
      <c r="E9" s="83">
        <f>ASSUMPTIONS!B28</f>
        <v>50000</v>
      </c>
    </row>
    <row r="10" spans="1:5" x14ac:dyDescent="0.25">
      <c r="A10" t="s">
        <v>27</v>
      </c>
      <c r="B10" s="82">
        <v>29000</v>
      </c>
      <c r="C10" s="82">
        <v>28000</v>
      </c>
      <c r="D10" s="82">
        <v>27500</v>
      </c>
      <c r="E10" s="83">
        <f>ASSUMPTIONS!B29</f>
        <v>28000</v>
      </c>
    </row>
    <row r="11" spans="1:5" x14ac:dyDescent="0.25">
      <c r="A11" t="s">
        <v>161</v>
      </c>
      <c r="B11" s="27">
        <v>45</v>
      </c>
      <c r="C11" s="27">
        <v>30</v>
      </c>
      <c r="D11" s="27">
        <v>21</v>
      </c>
      <c r="E11" s="83">
        <f>ASSUMPTIONS!B27</f>
        <v>30</v>
      </c>
    </row>
    <row r="12" spans="1:5" x14ac:dyDescent="0.25">
      <c r="A12" t="s">
        <v>162</v>
      </c>
      <c r="B12" s="27">
        <v>45</v>
      </c>
      <c r="C12" s="27">
        <v>35</v>
      </c>
      <c r="D12" s="27">
        <v>25</v>
      </c>
      <c r="E12" s="83">
        <f>ASSUMPTIONS!B21</f>
        <v>40</v>
      </c>
    </row>
    <row r="14" spans="1:5" x14ac:dyDescent="0.25">
      <c r="A14" s="139" t="s">
        <v>163</v>
      </c>
      <c r="B14" s="139"/>
      <c r="C14" s="139"/>
      <c r="D14" s="139"/>
      <c r="E14" s="139"/>
    </row>
    <row r="15" spans="1:5" ht="19.5" thickBot="1" x14ac:dyDescent="0.35">
      <c r="A15" s="25" t="s">
        <v>164</v>
      </c>
      <c r="B15" s="84" t="str">
        <f>ASSUMPTIONS!B15</f>
        <v>Base</v>
      </c>
      <c r="C15" s="26" t="s">
        <v>165</v>
      </c>
      <c r="D15" s="26"/>
      <c r="E15" s="85"/>
    </row>
    <row r="16" spans="1:5" ht="15.75" thickTop="1" x14ac:dyDescent="0.25">
      <c r="A16" s="11" t="s">
        <v>166</v>
      </c>
      <c r="B16" s="70" t="str">
        <f>IF(ASSUMPTIONS!$B$15="Best","🟢 BEST CASE ACTIVE",IF(ASSUMPTIONS!$B$15="Conservative","🔴 CONSERVATIVE CASE ACTIVE","🟡 BASE CASE ACTIVE"))</f>
        <v>🟡 BASE CASE ACTIVE</v>
      </c>
      <c r="C16" s="12"/>
      <c r="D16" s="12"/>
      <c r="E16" s="16"/>
    </row>
    <row r="18" spans="1:5" x14ac:dyDescent="0.25">
      <c r="A18" s="139" t="s">
        <v>167</v>
      </c>
      <c r="B18" s="139"/>
      <c r="C18" s="139"/>
      <c r="D18" s="139"/>
      <c r="E18" s="139"/>
    </row>
    <row r="19" spans="1:5" x14ac:dyDescent="0.25">
      <c r="A19" s="86" t="s">
        <v>121</v>
      </c>
      <c r="B19" s="86" t="s">
        <v>155</v>
      </c>
      <c r="C19" s="86" t="s">
        <v>156</v>
      </c>
      <c r="D19" s="86" t="s">
        <v>129</v>
      </c>
      <c r="E19" s="86" t="s">
        <v>14</v>
      </c>
    </row>
    <row r="20" spans="1:5" x14ac:dyDescent="0.25">
      <c r="A20" s="87">
        <v>45658</v>
      </c>
      <c r="B20">
        <f>ROUND(('SALES DATA'!O19/12)*(1+$B$6)*(1+$B$8),2)</f>
        <v>30533.11</v>
      </c>
      <c r="C20">
        <f>ROUND(('SALES DATA'!O19/12)*(1+$C$6)*(1+$C$8),2)</f>
        <v>33280.03</v>
      </c>
      <c r="D20">
        <f>ROUND(('SALES DATA'!O19/12)*(1+$D$6)*(1+$D$8),2)</f>
        <v>36801.730000000003</v>
      </c>
      <c r="E20">
        <f>IF(ASSUMPTIONS!$B$15="Conservative",B20,IF(ASSUMPTIONS!$B$15="Best",D20,C20))</f>
        <v>33280.03</v>
      </c>
    </row>
    <row r="21" spans="1:5" x14ac:dyDescent="0.25">
      <c r="A21" s="87">
        <v>45689</v>
      </c>
      <c r="B21">
        <f>ROUND(B20*(1+$B$6),2)</f>
        <v>31143.77</v>
      </c>
      <c r="C21">
        <f>ROUND(C20*(1+$C$6),2)</f>
        <v>34944.03</v>
      </c>
      <c r="D21">
        <f>ROUND(D20*(1+$D$6),2)</f>
        <v>40481.9</v>
      </c>
      <c r="E21">
        <f>IF(ASSUMPTIONS!$B$15="Conservative",B21,IF(ASSUMPTIONS!$B$15="Best",D21,C21))</f>
        <v>34944.03</v>
      </c>
    </row>
    <row r="22" spans="1:5" x14ac:dyDescent="0.25">
      <c r="A22" s="87">
        <v>45717</v>
      </c>
      <c r="B22">
        <f>ROUND(B21*(1+$B$6),2)</f>
        <v>31766.65</v>
      </c>
      <c r="C22">
        <f>ROUND(C21*(1+$C$6),2)</f>
        <v>36691.230000000003</v>
      </c>
      <c r="D22">
        <f>ROUND(D21*(1+$D$6),2)</f>
        <v>44530.09</v>
      </c>
      <c r="E22">
        <f>IF(ASSUMPTIONS!$B$15="Conservative",B22,IF(ASSUMPTIONS!$B$15="Best",D22,C22))</f>
        <v>36691.230000000003</v>
      </c>
    </row>
    <row r="23" spans="1:5" x14ac:dyDescent="0.25">
      <c r="A23" s="87">
        <v>45748</v>
      </c>
      <c r="B23">
        <f>ROUND(B22*(1+$B$6),2)</f>
        <v>32401.98</v>
      </c>
      <c r="C23">
        <f>ROUND(C22*(1+$C$6),2)</f>
        <v>38525.79</v>
      </c>
      <c r="D23">
        <f>ROUND(D22*(1+$D$6),2)</f>
        <v>48983.1</v>
      </c>
      <c r="E23">
        <f>IF(ASSUMPTIONS!$B$15="Conservative",B23,IF(ASSUMPTIONS!$B$15="Best",D23,C23))</f>
        <v>38525.79</v>
      </c>
    </row>
    <row r="24" spans="1:5" x14ac:dyDescent="0.25">
      <c r="A24" s="87">
        <v>45778</v>
      </c>
      <c r="B24">
        <f t="shared" ref="B24:B25" si="0">ROUND(B23*(1+$B$6),2)</f>
        <v>33050.019999999997</v>
      </c>
      <c r="C24">
        <f t="shared" ref="C24:C25" si="1">ROUND(C23*(1+$C$6),2)</f>
        <v>40452.080000000002</v>
      </c>
      <c r="D24">
        <f t="shared" ref="D24:D25" si="2">ROUND(D23*(1+$D$6),2)</f>
        <v>53881.41</v>
      </c>
      <c r="E24">
        <f>IF(ASSUMPTIONS!$B$15="Conservative",B24,IF(ASSUMPTIONS!$B$15="Best",D24,C24))</f>
        <v>40452.080000000002</v>
      </c>
    </row>
    <row r="25" spans="1:5" x14ac:dyDescent="0.25">
      <c r="A25" s="87">
        <v>45809</v>
      </c>
      <c r="B25">
        <f t="shared" si="0"/>
        <v>33711.019999999997</v>
      </c>
      <c r="C25">
        <f t="shared" si="1"/>
        <v>42474.68</v>
      </c>
      <c r="D25">
        <f t="shared" si="2"/>
        <v>59269.55</v>
      </c>
      <c r="E25">
        <f>IF(ASSUMPTIONS!$B$15="Conservative",B25,IF(ASSUMPTIONS!$B$15="Best",D25,C25))</f>
        <v>42474.68</v>
      </c>
    </row>
    <row r="26" spans="1:5" x14ac:dyDescent="0.25">
      <c r="A26" s="72" t="s">
        <v>168</v>
      </c>
      <c r="B26" s="54">
        <f>SUM(B20:B25)</f>
        <v>192606.55</v>
      </c>
      <c r="C26" s="54">
        <f>SUM(C20:C25)</f>
        <v>226367.84000000003</v>
      </c>
      <c r="D26" s="54">
        <f>SUM(D20:D25)</f>
        <v>283947.78000000003</v>
      </c>
      <c r="E26" s="54">
        <f>SUM(E20:E25)</f>
        <v>226367.84000000003</v>
      </c>
    </row>
    <row r="28" spans="1:5" x14ac:dyDescent="0.25">
      <c r="A28" s="149" t="s">
        <v>169</v>
      </c>
      <c r="B28" s="149"/>
      <c r="C28" s="149"/>
      <c r="D28" s="149"/>
      <c r="E28" s="149"/>
    </row>
    <row r="29" spans="1:5" x14ac:dyDescent="0.25">
      <c r="A29" s="86" t="s">
        <v>121</v>
      </c>
      <c r="B29" s="86" t="s">
        <v>155</v>
      </c>
      <c r="C29" s="86" t="s">
        <v>156</v>
      </c>
      <c r="D29" s="86" t="s">
        <v>129</v>
      </c>
      <c r="E29" s="89" t="s">
        <v>170</v>
      </c>
    </row>
    <row r="30" spans="1:5" x14ac:dyDescent="0.25">
      <c r="A30" s="87">
        <v>45658</v>
      </c>
      <c r="B30" s="1">
        <f>ASSUMPTIONS!$B$28+B20-$B$10-INVENTORY!$F$21/6</f>
        <v>43163.11</v>
      </c>
      <c r="C30" s="1">
        <f>ASSUMPTIONS!$B$28+C20-$D$10-INVENTORY!$F$21/6</f>
        <v>47410.03</v>
      </c>
      <c r="D30" s="1">
        <f>ASSUMPTIONS!$B$28+D20-$D$10-INVENTORY!$F$21/6</f>
        <v>50931.73000000001</v>
      </c>
      <c r="E30" s="1">
        <f>D30-B30</f>
        <v>7768.6200000000099</v>
      </c>
    </row>
    <row r="31" spans="1:5" x14ac:dyDescent="0.25">
      <c r="A31" s="87">
        <v>45689</v>
      </c>
      <c r="B31" s="1">
        <f>B30+B21-B$10-INVENTORY!$F$21/6</f>
        <v>36936.880000000005</v>
      </c>
      <c r="C31" s="1">
        <f>C30+C21-C$10-INVENTORY!$F$21/6</f>
        <v>45984.06</v>
      </c>
      <c r="D31" s="1">
        <f>D30+D21-D$10-INVENTORY!$F$21/6</f>
        <v>55543.630000000005</v>
      </c>
      <c r="E31" s="1">
        <f>E30+E21-E$10-INVENTORY!$F$21/6</f>
        <v>6342.6500000000087</v>
      </c>
    </row>
    <row r="32" spans="1:5" x14ac:dyDescent="0.25">
      <c r="A32" s="87">
        <v>45717</v>
      </c>
      <c r="B32" s="1">
        <f>B31+B22-B$10-INVENTORY!$F$21/6</f>
        <v>31333.53</v>
      </c>
      <c r="C32" s="1">
        <f>C31+C22-C$10-INVENTORY!$F$21/6</f>
        <v>46305.290000000008</v>
      </c>
      <c r="D32" s="1">
        <f>D31+D22-D$10-INVENTORY!$F$21/6</f>
        <v>64203.72</v>
      </c>
      <c r="E32" s="1">
        <f>E31+E22-E$10-INVENTORY!$F$21/6</f>
        <v>6663.8800000000119</v>
      </c>
    </row>
    <row r="33" spans="1:7" x14ac:dyDescent="0.25">
      <c r="A33" s="87">
        <v>45748</v>
      </c>
      <c r="B33" s="1">
        <f>B32+B23-B$10-INVENTORY!$F$21/6</f>
        <v>26365.509999999995</v>
      </c>
      <c r="C33" s="1">
        <f>C32+C23-C$10-INVENTORY!$F$21/6</f>
        <v>48461.080000000016</v>
      </c>
      <c r="D33" s="1">
        <f>D32+D23-D$10-INVENTORY!$F$21/6</f>
        <v>77316.820000000007</v>
      </c>
      <c r="E33" s="1">
        <f>E32+E23-E$10-INVENTORY!$F$21/6</f>
        <v>8819.6700000000128</v>
      </c>
    </row>
    <row r="34" spans="1:7" x14ac:dyDescent="0.25">
      <c r="A34" s="87">
        <v>45778</v>
      </c>
      <c r="B34" s="1">
        <f>B33+B24-B$10-INVENTORY!$F$21/6</f>
        <v>22045.529999999992</v>
      </c>
      <c r="C34" s="1">
        <f>C33+C24-C$10-INVENTORY!$F$21/6</f>
        <v>52543.160000000018</v>
      </c>
      <c r="D34" s="1">
        <f>D33+D24-D$10-INVENTORY!$F$21/6</f>
        <v>95328.23000000001</v>
      </c>
      <c r="E34" s="1">
        <f>E33+E24-E$10-INVENTORY!$F$21/6</f>
        <v>12901.750000000015</v>
      </c>
    </row>
    <row r="35" spans="1:7" x14ac:dyDescent="0.25">
      <c r="A35" s="87">
        <v>45809</v>
      </c>
      <c r="B35" s="1">
        <f>B34+B25-B$10-INVENTORY!$F$21/6</f>
        <v>18386.549999999988</v>
      </c>
      <c r="C35" s="1">
        <f>C34+C25-C$10-INVENTORY!$F$21/6</f>
        <v>58647.840000000026</v>
      </c>
      <c r="D35" s="1">
        <f>D34+D25-D$10-INVENTORY!$F$21/6</f>
        <v>118727.78000000003</v>
      </c>
      <c r="E35" s="1">
        <f>E34+E25-E$10-INVENTORY!$F$21/6</f>
        <v>19006.430000000015</v>
      </c>
    </row>
    <row r="36" spans="1:7" x14ac:dyDescent="0.25">
      <c r="A36" t="s">
        <v>171</v>
      </c>
      <c r="E36" s="90">
        <f>E35</f>
        <v>19006.430000000015</v>
      </c>
    </row>
    <row r="38" spans="1:7" x14ac:dyDescent="0.25">
      <c r="A38" s="169" t="s">
        <v>172</v>
      </c>
      <c r="B38" s="169"/>
      <c r="C38" s="169"/>
      <c r="D38" s="169"/>
      <c r="E38" s="169"/>
    </row>
    <row r="39" spans="1:7" x14ac:dyDescent="0.25">
      <c r="A39" s="91" t="s">
        <v>173</v>
      </c>
      <c r="B39" s="91" t="s">
        <v>155</v>
      </c>
      <c r="C39" s="91" t="s">
        <v>156</v>
      </c>
      <c r="D39" s="91" t="s">
        <v>129</v>
      </c>
    </row>
    <row r="40" spans="1:7" x14ac:dyDescent="0.25">
      <c r="A40" t="s">
        <v>174</v>
      </c>
      <c r="B40" s="96">
        <f>B26</f>
        <v>192606.55</v>
      </c>
      <c r="C40" s="92">
        <f>C26</f>
        <v>226367.84000000003</v>
      </c>
      <c r="D40" s="100">
        <f>D26</f>
        <v>283947.78000000003</v>
      </c>
      <c r="G40" s="88"/>
    </row>
    <row r="41" spans="1:7" x14ac:dyDescent="0.25">
      <c r="A41" t="s">
        <v>175</v>
      </c>
      <c r="B41" s="97">
        <f>B35</f>
        <v>18386.549999999988</v>
      </c>
      <c r="C41" s="93">
        <f t="shared" ref="C41:D41" si="3">C35</f>
        <v>58647.840000000026</v>
      </c>
      <c r="D41" s="101">
        <f t="shared" si="3"/>
        <v>118727.78000000003</v>
      </c>
    </row>
    <row r="42" spans="1:7" x14ac:dyDescent="0.25">
      <c r="A42" t="s">
        <v>176</v>
      </c>
      <c r="B42" s="98">
        <f>B6</f>
        <v>0.02</v>
      </c>
      <c r="C42" s="94">
        <f t="shared" ref="C42:D42" si="4">C6</f>
        <v>0.05</v>
      </c>
      <c r="D42" s="102">
        <f t="shared" si="4"/>
        <v>0.1</v>
      </c>
    </row>
    <row r="43" spans="1:7" x14ac:dyDescent="0.25">
      <c r="A43" t="s">
        <v>177</v>
      </c>
      <c r="B43" s="99">
        <f>B10</f>
        <v>29000</v>
      </c>
      <c r="C43" s="95">
        <f t="shared" ref="C43:D43" si="5">C10</f>
        <v>28000</v>
      </c>
      <c r="D43" s="103">
        <f t="shared" si="5"/>
        <v>27500</v>
      </c>
    </row>
  </sheetData>
  <mergeCells count="7">
    <mergeCell ref="A28:E28"/>
    <mergeCell ref="A38:E38"/>
    <mergeCell ref="A1:E1"/>
    <mergeCell ref="A2:E2"/>
    <mergeCell ref="A4:E4"/>
    <mergeCell ref="A14:E14"/>
    <mergeCell ref="A18:E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6740-1C4A-44C6-8913-B45AB93909A7}">
  <sheetPr>
    <tabColor theme="4"/>
  </sheetPr>
  <dimension ref="A1:M79"/>
  <sheetViews>
    <sheetView showGridLines="0" tabSelected="1" zoomScaleNormal="100" workbookViewId="0">
      <selection activeCell="M10" sqref="M10"/>
    </sheetView>
  </sheetViews>
  <sheetFormatPr defaultRowHeight="15" x14ac:dyDescent="0.25"/>
  <cols>
    <col min="1" max="1" width="3.7109375" style="106" customWidth="1"/>
    <col min="2" max="13" width="15.7109375" style="106" customWidth="1"/>
    <col min="14" max="14" width="3.7109375" style="106" customWidth="1"/>
    <col min="15" max="16384" width="9.140625" style="106"/>
  </cols>
  <sheetData>
    <row r="1" spans="1:13" ht="15.95" customHeight="1" x14ac:dyDescent="0.25"/>
    <row r="2" spans="1:13" ht="15.95" customHeight="1" x14ac:dyDescent="0.35">
      <c r="B2" s="171" t="s">
        <v>178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3" ht="15.95" customHeight="1" x14ac:dyDescent="0.25">
      <c r="B3" s="172" t="s">
        <v>179</v>
      </c>
      <c r="C3" s="172"/>
      <c r="D3" s="172"/>
      <c r="E3" s="172"/>
      <c r="F3" s="172"/>
      <c r="G3" s="172"/>
      <c r="H3" s="172"/>
      <c r="I3" s="172"/>
      <c r="J3" s="172"/>
      <c r="K3" s="172"/>
      <c r="L3" s="107" t="str">
        <f>ASSUMPTIONS!B15</f>
        <v>Base</v>
      </c>
      <c r="M3" s="108"/>
    </row>
    <row r="4" spans="1:13" ht="15.95" customHeight="1" x14ac:dyDescent="0.25">
      <c r="L4" s="106" t="s">
        <v>215</v>
      </c>
      <c r="M4" s="109">
        <f ca="1">TODAY()</f>
        <v>46121</v>
      </c>
    </row>
    <row r="5" spans="1:13" ht="15.95" customHeight="1" x14ac:dyDescent="0.25">
      <c r="B5" s="173" t="s">
        <v>180</v>
      </c>
      <c r="C5" s="173"/>
      <c r="D5"/>
      <c r="E5" s="176" t="s">
        <v>181</v>
      </c>
      <c r="F5" s="176"/>
      <c r="G5"/>
      <c r="H5" s="174" t="s">
        <v>182</v>
      </c>
      <c r="I5" s="174"/>
      <c r="J5"/>
      <c r="K5" s="180" t="s">
        <v>183</v>
      </c>
      <c r="L5" s="180"/>
    </row>
    <row r="6" spans="1:13" ht="15.95" customHeight="1" x14ac:dyDescent="0.25">
      <c r="B6" s="175">
        <f>SUM('DEMAND FORECAST'!C15:H15)</f>
        <v>375356.61</v>
      </c>
      <c r="C6" s="175"/>
      <c r="D6"/>
      <c r="E6" s="177">
        <f>'CASH FLOW'!G21</f>
        <v>144050.24831</v>
      </c>
      <c r="F6" s="177"/>
      <c r="G6"/>
      <c r="H6" s="178">
        <f>SUM('DEMAND FORECAST'!I9:I13)</f>
        <v>14839</v>
      </c>
      <c r="I6" s="178"/>
      <c r="J6"/>
      <c r="K6" s="179">
        <f>INVENTORY!F21</f>
        <v>50220</v>
      </c>
      <c r="L6" s="179"/>
    </row>
    <row r="7" spans="1:13" ht="15.95" customHeight="1" x14ac:dyDescent="0.25">
      <c r="B7" s="185" t="s">
        <v>184</v>
      </c>
      <c r="C7" s="185"/>
      <c r="D7" s="110"/>
      <c r="E7" s="185" t="s">
        <v>185</v>
      </c>
      <c r="F7" s="185"/>
      <c r="G7" s="110"/>
      <c r="H7" s="185" t="s">
        <v>186</v>
      </c>
      <c r="I7" s="185"/>
      <c r="J7" s="110"/>
      <c r="K7" s="185" t="s">
        <v>187</v>
      </c>
      <c r="L7" s="185"/>
    </row>
    <row r="8" spans="1:13" ht="15.95" customHeight="1" thickBot="1" x14ac:dyDescent="0.3">
      <c r="B8" s="111"/>
      <c r="C8" s="111"/>
    </row>
    <row r="9" spans="1:13" ht="15.95" customHeight="1" thickTop="1" x14ac:dyDescent="0.25">
      <c r="A9" s="112"/>
      <c r="B9" s="186" t="s">
        <v>188</v>
      </c>
      <c r="C9" s="187"/>
    </row>
    <row r="10" spans="1:13" ht="15.95" customHeight="1" x14ac:dyDescent="0.25">
      <c r="A10" s="112"/>
      <c r="B10" s="188">
        <f>COUNTIF('DEMAND FORECAST'!G27:G31,"🔴 STOCKOUT RISK")</f>
        <v>5</v>
      </c>
      <c r="C10" s="189"/>
    </row>
    <row r="11" spans="1:13" ht="15.95" customHeight="1" thickBot="1" x14ac:dyDescent="0.3">
      <c r="A11" s="112"/>
      <c r="B11" s="181" t="s">
        <v>189</v>
      </c>
      <c r="C11" s="182"/>
    </row>
    <row r="12" spans="1:13" ht="15.95" customHeight="1" thickTop="1" x14ac:dyDescent="0.25"/>
    <row r="13" spans="1:13" ht="15.95" customHeight="1" x14ac:dyDescent="0.25"/>
    <row r="14" spans="1:13" ht="15.95" customHeight="1" x14ac:dyDescent="0.25"/>
    <row r="15" spans="1:13" ht="15.95" customHeight="1" x14ac:dyDescent="0.25"/>
    <row r="16" spans="1:13" ht="15.95" customHeight="1" x14ac:dyDescent="0.25"/>
    <row r="17" spans="2:13" ht="15.95" customHeight="1" x14ac:dyDescent="0.25"/>
    <row r="18" spans="2:13" ht="15.95" customHeight="1" x14ac:dyDescent="0.25"/>
    <row r="19" spans="2:13" ht="15.95" customHeight="1" x14ac:dyDescent="0.25"/>
    <row r="20" spans="2:13" ht="15.95" customHeight="1" x14ac:dyDescent="0.25"/>
    <row r="21" spans="2:13" ht="15.95" customHeight="1" x14ac:dyDescent="0.25"/>
    <row r="22" spans="2:13" ht="15.95" customHeight="1" x14ac:dyDescent="0.25"/>
    <row r="23" spans="2:13" ht="15.95" customHeight="1" x14ac:dyDescent="0.25"/>
    <row r="24" spans="2:13" ht="15.95" customHeight="1" x14ac:dyDescent="0.25"/>
    <row r="25" spans="2:13" ht="15.95" customHeight="1" x14ac:dyDescent="0.25"/>
    <row r="26" spans="2:13" ht="15.95" customHeight="1" x14ac:dyDescent="0.25"/>
    <row r="27" spans="2:13" ht="15.95" customHeight="1" x14ac:dyDescent="0.25"/>
    <row r="28" spans="2:13" ht="15.95" customHeight="1" x14ac:dyDescent="0.25"/>
    <row r="29" spans="2:13" ht="15.95" customHeight="1" x14ac:dyDescent="0.25"/>
    <row r="30" spans="2:13" customFormat="1" ht="15.95" customHeight="1" x14ac:dyDescent="0.25">
      <c r="B30" s="149" t="s">
        <v>194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</row>
    <row r="31" spans="2:13" customFormat="1" ht="15.95" customHeight="1" x14ac:dyDescent="0.25">
      <c r="B31" s="113" t="s">
        <v>195</v>
      </c>
      <c r="C31" s="113" t="s">
        <v>196</v>
      </c>
      <c r="D31" s="113" t="s">
        <v>197</v>
      </c>
      <c r="E31" s="113" t="s">
        <v>198</v>
      </c>
      <c r="F31" s="113" t="s">
        <v>199</v>
      </c>
      <c r="G31" s="113" t="s">
        <v>200</v>
      </c>
      <c r="H31" s="113" t="s">
        <v>124</v>
      </c>
      <c r="I31" s="113" t="s">
        <v>201</v>
      </c>
      <c r="J31" s="113" t="s">
        <v>76</v>
      </c>
      <c r="K31" s="113" t="s">
        <v>202</v>
      </c>
      <c r="L31" s="113" t="s">
        <v>107</v>
      </c>
      <c r="M31" s="113" t="s">
        <v>203</v>
      </c>
    </row>
    <row r="32" spans="2:13" customFormat="1" ht="15.95" customHeight="1" x14ac:dyDescent="0.25">
      <c r="B32" t="str" cm="1">
        <f t="array" ref="B32:B36">INVENTORY!A6:A10</f>
        <v>VF-001</v>
      </c>
      <c r="C32" t="str" cm="1">
        <f t="array" ref="C32:C36">_xlfn.ANCHORARRAY(INVENTORY!B6)</f>
        <v>Omega-3 Fish Oil 90 caps</v>
      </c>
      <c r="D32" s="24" cm="1">
        <f t="array" ref="D32:D36">'SALES DATA'!O5:O9</f>
        <v>4640</v>
      </c>
      <c r="E32" s="74" cm="1">
        <f t="array" ref="E32:E36">'SALES DATA'!O14:O18</f>
        <v>115953.59999999999</v>
      </c>
      <c r="F32" s="38" cm="1">
        <f t="array" ref="F32:F36">'DEMAND FORECAST'!I9:I13</f>
        <v>3949</v>
      </c>
      <c r="G32" s="74" cm="1">
        <f t="array" ref="G32:G36">'DEMAND FORECAST'!J9:J13</f>
        <v>98685.51</v>
      </c>
      <c r="H32" cm="1">
        <f t="array" ref="H32:H36">INVENTORY!D6:D10</f>
        <v>850</v>
      </c>
      <c r="I32" s="38" cm="1">
        <f t="array" ref="I32:I36">INVENTORY!F6:F10</f>
        <v>66.864224137931032</v>
      </c>
      <c r="J32" t="str" cm="1">
        <f t="array" ref="J32:J36">INVENTORY!I6:I10</f>
        <v>🟢 OK</v>
      </c>
      <c r="K32">
        <f>VLOOKUP(B32,ASSUMPTIONS!$A$34:$C$38,3,0)</f>
        <v>24.99</v>
      </c>
      <c r="L32" s="74" cm="1">
        <f t="array" ref="L32:L36">INVENTORY!C6:C10</f>
        <v>8.5</v>
      </c>
      <c r="M32" s="114">
        <f>IFERROR((K32-L32)/K32,0)</f>
        <v>0.65986394557823125</v>
      </c>
    </row>
    <row r="33" spans="2:13" customFormat="1" ht="15.95" customHeight="1" x14ac:dyDescent="0.25">
      <c r="B33" t="str">
        <v>VF-002</v>
      </c>
      <c r="C33" t="str">
        <v>Magnesium Complex 60 caps</v>
      </c>
      <c r="D33" s="24">
        <v>3250</v>
      </c>
      <c r="E33" s="74">
        <v>64967.5</v>
      </c>
      <c r="F33">
        <v>2921</v>
      </c>
      <c r="G33" s="74">
        <v>58390.789999999994</v>
      </c>
      <c r="H33">
        <v>520</v>
      </c>
      <c r="I33" s="38">
        <v>58.400000000000006</v>
      </c>
      <c r="J33" t="str">
        <v>🟢 OK</v>
      </c>
      <c r="K33">
        <f>VLOOKUP(B33,ASSUMPTIONS!$A$34:$C$38,3,0)</f>
        <v>19.989999999999998</v>
      </c>
      <c r="L33" s="74">
        <v>6.8</v>
      </c>
      <c r="M33" s="114">
        <f t="shared" ref="M33:M36" si="0">IFERROR((K33-L33)/K33,0)</f>
        <v>0.65982991495747867</v>
      </c>
    </row>
    <row r="34" spans="2:13" customFormat="1" ht="15.95" customHeight="1" x14ac:dyDescent="0.25">
      <c r="B34" t="str">
        <v>VF-003</v>
      </c>
      <c r="C34" t="str">
        <v>Vitamin D3 120 caps</v>
      </c>
      <c r="D34" s="24">
        <v>2675</v>
      </c>
      <c r="E34" s="74">
        <v>48123.249999999993</v>
      </c>
      <c r="F34">
        <v>2590</v>
      </c>
      <c r="G34" s="74">
        <v>46594.1</v>
      </c>
      <c r="H34">
        <v>430</v>
      </c>
      <c r="I34" s="38">
        <v>58.67289719626168</v>
      </c>
      <c r="J34" t="str">
        <v>🟢 OK</v>
      </c>
      <c r="K34">
        <f>VLOOKUP(B34,ASSUMPTIONS!$A$34:$C$38,3,0)</f>
        <v>17.989999999999998</v>
      </c>
      <c r="L34" s="74">
        <v>5.9</v>
      </c>
      <c r="M34" s="114">
        <f t="shared" si="0"/>
        <v>0.67204002223457471</v>
      </c>
    </row>
    <row r="35" spans="2:13" customFormat="1" ht="15.95" customHeight="1" x14ac:dyDescent="0.25">
      <c r="B35" t="str">
        <v>VF-004</v>
      </c>
      <c r="C35" t="str">
        <v>Collagen Peptides 500g</v>
      </c>
      <c r="D35" s="24">
        <v>2262</v>
      </c>
      <c r="E35" s="74">
        <v>79147.380000000019</v>
      </c>
      <c r="F35">
        <v>2074</v>
      </c>
      <c r="G35" s="74">
        <v>72569.260000000009</v>
      </c>
      <c r="H35">
        <v>310</v>
      </c>
      <c r="I35" s="38">
        <v>50.02210433244916</v>
      </c>
      <c r="J35" t="str">
        <v>🟡 REORDER NOW</v>
      </c>
      <c r="K35">
        <f>VLOOKUP(B35,ASSUMPTIONS!$A$34:$C$38,3,0)</f>
        <v>34.99</v>
      </c>
      <c r="L35" s="74">
        <v>12.4</v>
      </c>
      <c r="M35" s="114">
        <f t="shared" si="0"/>
        <v>0.64561303229494149</v>
      </c>
    </row>
    <row r="36" spans="2:13" customFormat="1" ht="15.95" customHeight="1" x14ac:dyDescent="0.25">
      <c r="B36" t="str">
        <v>VF-005</v>
      </c>
      <c r="C36" t="str">
        <v>Probiotic Blend 30 caps</v>
      </c>
      <c r="D36" s="24">
        <v>3815</v>
      </c>
      <c r="E36" s="74">
        <v>114411.84999999998</v>
      </c>
      <c r="F36">
        <v>3305</v>
      </c>
      <c r="G36" s="74">
        <v>99116.95</v>
      </c>
      <c r="H36">
        <v>680</v>
      </c>
      <c r="I36" s="38">
        <v>65.058977719528187</v>
      </c>
      <c r="J36" t="str">
        <v>🟢 OK</v>
      </c>
      <c r="K36">
        <f>VLOOKUP(B36,ASSUMPTIONS!$A$34:$C$38,3,0)</f>
        <v>29.99</v>
      </c>
      <c r="L36" s="74">
        <v>9.1999999999999993</v>
      </c>
      <c r="M36" s="114">
        <f t="shared" si="0"/>
        <v>0.69323107702567521</v>
      </c>
    </row>
    <row r="37" spans="2:13" customFormat="1" ht="15.95" customHeight="1" x14ac:dyDescent="0.25">
      <c r="B37" s="63" t="s">
        <v>110</v>
      </c>
      <c r="C37" s="63"/>
      <c r="D37" s="115">
        <f>SUM(D32:D36)</f>
        <v>16642</v>
      </c>
      <c r="E37" s="116">
        <f>SUM(E32:E36)</f>
        <v>422603.57999999996</v>
      </c>
      <c r="F37" s="117">
        <f>SUM(F32:F36)</f>
        <v>14839</v>
      </c>
      <c r="G37" s="116">
        <f>SUM(G32:G36)</f>
        <v>375356.61000000004</v>
      </c>
    </row>
    <row r="38" spans="2:13" customFormat="1" ht="15.95" customHeight="1" x14ac:dyDescent="0.25"/>
    <row r="39" spans="2:13" customFormat="1" ht="15" customHeight="1" x14ac:dyDescent="0.25">
      <c r="B39" s="184" t="s">
        <v>206</v>
      </c>
      <c r="C39" s="184"/>
      <c r="D39" s="184"/>
      <c r="E39" s="184"/>
      <c r="G39" t="s">
        <v>211</v>
      </c>
    </row>
    <row r="40" spans="2:13" customFormat="1" ht="15" customHeight="1" x14ac:dyDescent="0.25">
      <c r="B40" s="44" t="s">
        <v>121</v>
      </c>
      <c r="C40" s="44" t="s">
        <v>207</v>
      </c>
      <c r="D40" s="44" t="s">
        <v>208</v>
      </c>
      <c r="E40" s="44" t="s">
        <v>209</v>
      </c>
      <c r="G40" t="s">
        <v>212</v>
      </c>
      <c r="H40" s="118">
        <f>ASSUMPTIONS!B12</f>
        <v>0.05</v>
      </c>
    </row>
    <row r="41" spans="2:13" customFormat="1" ht="15" customHeight="1" x14ac:dyDescent="0.25">
      <c r="B41" s="58">
        <v>228279</v>
      </c>
      <c r="C41">
        <f>'CASH FLOW'!$B$10</f>
        <v>56026.580719999998</v>
      </c>
      <c r="D41">
        <f>'CASH FLOW'!$B$18</f>
        <v>42608.24</v>
      </c>
      <c r="E41" s="119">
        <f>'CASH FLOW'!$B$20</f>
        <v>13418.34072</v>
      </c>
      <c r="G41" t="s">
        <v>14</v>
      </c>
      <c r="H41" s="118" t="str">
        <f>ASSUMPTIONS!B15</f>
        <v>Base</v>
      </c>
    </row>
    <row r="42" spans="2:13" customFormat="1" ht="15" customHeight="1" x14ac:dyDescent="0.25">
      <c r="B42" s="58">
        <v>228310</v>
      </c>
      <c r="C42">
        <f>'CASH FLOW'!$C$10</f>
        <v>55455.947339999992</v>
      </c>
      <c r="D42">
        <f>'CASH FLOW'!$C$18</f>
        <v>51380.28</v>
      </c>
      <c r="E42" s="119">
        <f>'CASH FLOW'!$C$20</f>
        <v>4075.6673399999927</v>
      </c>
      <c r="G42" t="s">
        <v>213</v>
      </c>
      <c r="H42" s="83">
        <f>ASSUMPTIONS!B28</f>
        <v>50000</v>
      </c>
    </row>
    <row r="43" spans="2:13" customFormat="1" ht="15" customHeight="1" x14ac:dyDescent="0.25">
      <c r="B43" s="58">
        <v>228338</v>
      </c>
      <c r="C43">
        <f>'CASH FLOW'!$D$10</f>
        <v>54935.313959999992</v>
      </c>
      <c r="D43">
        <f>'CASH FLOW'!$D$18</f>
        <v>47804.32</v>
      </c>
      <c r="E43" s="119">
        <f>'CASH FLOW'!$D$20</f>
        <v>7130.9939599999925</v>
      </c>
      <c r="G43" t="s">
        <v>214</v>
      </c>
      <c r="H43" s="83">
        <f>ASSUMPTIONS!B29</f>
        <v>28000</v>
      </c>
    </row>
    <row r="44" spans="2:13" customFormat="1" ht="15" customHeight="1" x14ac:dyDescent="0.25">
      <c r="B44" s="58">
        <v>228369</v>
      </c>
      <c r="C44">
        <f>'CASH FLOW'!$E$10</f>
        <v>60451.530629999994</v>
      </c>
      <c r="D44">
        <f>'CASH FLOW'!$E$18</f>
        <v>37070.46</v>
      </c>
      <c r="E44" s="119">
        <f>'CASH FLOW'!$E$20</f>
        <v>23381.070629999995</v>
      </c>
    </row>
    <row r="45" spans="2:13" customFormat="1" ht="15" customHeight="1" x14ac:dyDescent="0.25">
      <c r="B45" s="58">
        <v>228399</v>
      </c>
      <c r="C45">
        <f>'CASH FLOW'!$F$10</f>
        <v>66448.380680000002</v>
      </c>
      <c r="D45">
        <f>'CASH FLOW'!$F$18</f>
        <v>45484.56</v>
      </c>
      <c r="E45" s="119">
        <f>'CASH FLOW'!$F$20</f>
        <v>20963.820680000004</v>
      </c>
    </row>
    <row r="46" spans="2:13" customFormat="1" ht="15" customHeight="1" x14ac:dyDescent="0.25">
      <c r="B46" s="58">
        <v>228430</v>
      </c>
      <c r="C46">
        <f>'CASH FLOW'!$G$10</f>
        <v>73113.514979999993</v>
      </c>
      <c r="D46">
        <f>'CASH FLOW'!$G$18</f>
        <v>48033.16</v>
      </c>
      <c r="E46" s="119">
        <f>'CASH FLOW'!$G$20</f>
        <v>25080.354979999989</v>
      </c>
    </row>
    <row r="47" spans="2:13" customFormat="1" ht="15" customHeight="1" x14ac:dyDescent="0.25">
      <c r="B47" t="s">
        <v>210</v>
      </c>
      <c r="C47" s="116">
        <f>SUM(C41:C46)</f>
        <v>366431.26830999996</v>
      </c>
      <c r="D47" s="116">
        <f>SUM(D41:D46)</f>
        <v>272381.02</v>
      </c>
      <c r="E47" s="116">
        <f>SUM(E41:E46)</f>
        <v>94050.248309999981</v>
      </c>
    </row>
    <row r="48" spans="2:13" customFormat="1" ht="15" customHeight="1" x14ac:dyDescent="0.25"/>
    <row r="49" spans="2:5" customFormat="1" ht="15" customHeight="1" x14ac:dyDescent="0.25"/>
    <row r="50" spans="2:5" customFormat="1" ht="15" customHeight="1" x14ac:dyDescent="0.25"/>
    <row r="51" spans="2:5" customFormat="1" ht="15" customHeight="1" x14ac:dyDescent="0.25"/>
    <row r="52" spans="2:5" customFormat="1" ht="15" customHeight="1" x14ac:dyDescent="0.25"/>
    <row r="53" spans="2:5" customFormat="1" ht="15" customHeight="1" x14ac:dyDescent="0.25"/>
    <row r="54" spans="2:5" customFormat="1" ht="15" customHeight="1" x14ac:dyDescent="0.25"/>
    <row r="55" spans="2:5" customFormat="1" ht="15.95" customHeight="1" x14ac:dyDescent="0.25"/>
    <row r="56" spans="2:5" customFormat="1" ht="15.95" customHeight="1" x14ac:dyDescent="0.25">
      <c r="B56" s="183" t="s">
        <v>190</v>
      </c>
      <c r="C56" s="183"/>
      <c r="D56" s="183"/>
      <c r="E56" s="183"/>
    </row>
    <row r="57" spans="2:5" customFormat="1" ht="15.95" customHeight="1" x14ac:dyDescent="0.25">
      <c r="B57" t="s">
        <v>121</v>
      </c>
      <c r="C57" t="s">
        <v>155</v>
      </c>
      <c r="D57" t="s">
        <v>156</v>
      </c>
      <c r="E57" t="s">
        <v>129</v>
      </c>
    </row>
    <row r="58" spans="2:5" customFormat="1" ht="15.95" customHeight="1" x14ac:dyDescent="0.25">
      <c r="B58" s="58">
        <v>45658</v>
      </c>
      <c r="C58" cm="1">
        <f t="array" ref="C58:E63">SCENARIOS!B20:D25</f>
        <v>30533.11</v>
      </c>
      <c r="D58">
        <v>33280.03</v>
      </c>
      <c r="E58">
        <v>36801.730000000003</v>
      </c>
    </row>
    <row r="59" spans="2:5" customFormat="1" ht="15.95" customHeight="1" x14ac:dyDescent="0.25">
      <c r="B59" s="58">
        <v>45689</v>
      </c>
      <c r="C59">
        <v>31143.77</v>
      </c>
      <c r="D59">
        <v>34944.03</v>
      </c>
      <c r="E59">
        <v>40481.9</v>
      </c>
    </row>
    <row r="60" spans="2:5" customFormat="1" ht="15.95" customHeight="1" x14ac:dyDescent="0.25">
      <c r="B60" s="58">
        <v>45717</v>
      </c>
      <c r="C60">
        <v>31766.65</v>
      </c>
      <c r="D60">
        <v>36691.230000000003</v>
      </c>
      <c r="E60">
        <v>44530.09</v>
      </c>
    </row>
    <row r="61" spans="2:5" customFormat="1" ht="15.95" customHeight="1" x14ac:dyDescent="0.25">
      <c r="B61" s="58">
        <v>45748</v>
      </c>
      <c r="C61">
        <v>32401.98</v>
      </c>
      <c r="D61">
        <v>38525.79</v>
      </c>
      <c r="E61">
        <v>48983.1</v>
      </c>
    </row>
    <row r="62" spans="2:5" customFormat="1" ht="15.95" customHeight="1" x14ac:dyDescent="0.25">
      <c r="B62" s="58">
        <v>45778</v>
      </c>
      <c r="C62">
        <v>33050.019999999997</v>
      </c>
      <c r="D62">
        <v>40452.080000000002</v>
      </c>
      <c r="E62">
        <v>53881.41</v>
      </c>
    </row>
    <row r="63" spans="2:5" customFormat="1" ht="15.95" customHeight="1" x14ac:dyDescent="0.25">
      <c r="B63" s="58">
        <v>45809</v>
      </c>
      <c r="C63">
        <v>33711.019999999997</v>
      </c>
      <c r="D63">
        <v>42474.68</v>
      </c>
      <c r="E63">
        <v>59269.55</v>
      </c>
    </row>
    <row r="64" spans="2:5" customFormat="1" ht="15.95" customHeight="1" x14ac:dyDescent="0.25"/>
    <row r="65" spans="2:5" customFormat="1" ht="15.95" customHeight="1" x14ac:dyDescent="0.25">
      <c r="B65" t="s">
        <v>121</v>
      </c>
      <c r="C65" t="s">
        <v>191</v>
      </c>
      <c r="D65" t="s">
        <v>192</v>
      </c>
      <c r="E65" t="s">
        <v>193</v>
      </c>
    </row>
    <row r="66" spans="2:5" customFormat="1" ht="15.95" customHeight="1" x14ac:dyDescent="0.25">
      <c r="B66" s="58">
        <v>45658</v>
      </c>
      <c r="C66" s="1" cm="1">
        <f t="array" ref="C66:E71">SCENARIOS!B30:D35</f>
        <v>43163.11</v>
      </c>
      <c r="D66">
        <v>47410.03</v>
      </c>
      <c r="E66">
        <v>50931.73000000001</v>
      </c>
    </row>
    <row r="67" spans="2:5" customFormat="1" ht="15.95" customHeight="1" x14ac:dyDescent="0.25">
      <c r="B67" s="58">
        <v>45689</v>
      </c>
      <c r="C67">
        <v>36936.880000000005</v>
      </c>
      <c r="D67">
        <v>45984.06</v>
      </c>
      <c r="E67">
        <v>55543.630000000005</v>
      </c>
    </row>
    <row r="68" spans="2:5" customFormat="1" ht="15.95" customHeight="1" x14ac:dyDescent="0.25">
      <c r="B68" s="58">
        <v>45717</v>
      </c>
      <c r="C68">
        <v>31333.53</v>
      </c>
      <c r="D68">
        <v>46305.290000000008</v>
      </c>
      <c r="E68">
        <v>64203.72</v>
      </c>
    </row>
    <row r="69" spans="2:5" customFormat="1" ht="15.95" customHeight="1" x14ac:dyDescent="0.25">
      <c r="B69" s="58">
        <v>45748</v>
      </c>
      <c r="C69">
        <v>26365.509999999995</v>
      </c>
      <c r="D69">
        <v>48461.080000000016</v>
      </c>
      <c r="E69">
        <v>77316.820000000007</v>
      </c>
    </row>
    <row r="70" spans="2:5" customFormat="1" ht="15.95" customHeight="1" x14ac:dyDescent="0.25">
      <c r="B70" s="58">
        <v>45778</v>
      </c>
      <c r="C70">
        <v>22045.529999999992</v>
      </c>
      <c r="D70">
        <v>52543.160000000018</v>
      </c>
      <c r="E70">
        <v>95328.23000000001</v>
      </c>
    </row>
    <row r="71" spans="2:5" customFormat="1" ht="15.95" customHeight="1" x14ac:dyDescent="0.25">
      <c r="B71" s="58">
        <v>45809</v>
      </c>
      <c r="C71">
        <v>18386.549999999988</v>
      </c>
      <c r="D71">
        <v>58647.840000000026</v>
      </c>
      <c r="E71">
        <v>118727.78000000003</v>
      </c>
    </row>
    <row r="72" spans="2:5" customFormat="1" ht="15.95" customHeight="1" x14ac:dyDescent="0.25"/>
    <row r="73" spans="2:5" customFormat="1" x14ac:dyDescent="0.25">
      <c r="B73" t="s">
        <v>204</v>
      </c>
    </row>
    <row r="74" spans="2:5" customFormat="1" x14ac:dyDescent="0.25">
      <c r="B74" t="s">
        <v>195</v>
      </c>
      <c r="C74" t="s">
        <v>201</v>
      </c>
      <c r="D74" t="s">
        <v>205</v>
      </c>
    </row>
    <row r="75" spans="2:5" customFormat="1" x14ac:dyDescent="0.25">
      <c r="B75" t="str" cm="1">
        <f t="array" ref="B75:B79">ASSUMPTIONS!A34:A38</f>
        <v>VF-001</v>
      </c>
      <c r="C75" s="38" cm="1">
        <f t="array" ref="C75:C79">INVENTORY!F6:F10</f>
        <v>66.864224137931032</v>
      </c>
      <c r="D75">
        <f>ASSUMPTIONS!$B$20</f>
        <v>54</v>
      </c>
    </row>
    <row r="76" spans="2:5" customFormat="1" x14ac:dyDescent="0.25">
      <c r="B76" t="str">
        <v>VF-002</v>
      </c>
      <c r="C76" s="38">
        <v>58.400000000000006</v>
      </c>
      <c r="D76">
        <f>ASSUMPTIONS!$B$20</f>
        <v>54</v>
      </c>
    </row>
    <row r="77" spans="2:5" customFormat="1" x14ac:dyDescent="0.25">
      <c r="B77" t="str">
        <v>VF-003</v>
      </c>
      <c r="C77" s="38">
        <v>58.67289719626168</v>
      </c>
      <c r="D77">
        <f>ASSUMPTIONS!$B$20</f>
        <v>54</v>
      </c>
    </row>
    <row r="78" spans="2:5" customFormat="1" x14ac:dyDescent="0.25">
      <c r="B78" t="str">
        <v>VF-004</v>
      </c>
      <c r="C78" s="38">
        <v>50.02210433244916</v>
      </c>
      <c r="D78">
        <f>ASSUMPTIONS!$B$20</f>
        <v>54</v>
      </c>
    </row>
    <row r="79" spans="2:5" customFormat="1" x14ac:dyDescent="0.25">
      <c r="B79" t="str">
        <v>VF-005</v>
      </c>
      <c r="C79" s="38">
        <v>65.058977719528187</v>
      </c>
      <c r="D79">
        <f>ASSUMPTIONS!$B$20</f>
        <v>54</v>
      </c>
    </row>
  </sheetData>
  <sheetProtection selectLockedCells="1"/>
  <mergeCells count="20">
    <mergeCell ref="B11:C11"/>
    <mergeCell ref="B56:E56"/>
    <mergeCell ref="B30:M30"/>
    <mergeCell ref="B39:E39"/>
    <mergeCell ref="B7:C7"/>
    <mergeCell ref="E7:F7"/>
    <mergeCell ref="H7:I7"/>
    <mergeCell ref="K7:L7"/>
    <mergeCell ref="B9:C9"/>
    <mergeCell ref="B10:C10"/>
    <mergeCell ref="B2:M2"/>
    <mergeCell ref="B3:K3"/>
    <mergeCell ref="B5:C5"/>
    <mergeCell ref="H5:I5"/>
    <mergeCell ref="B6:C6"/>
    <mergeCell ref="E5:F5"/>
    <mergeCell ref="E6:F6"/>
    <mergeCell ref="H6:I6"/>
    <mergeCell ref="K6:L6"/>
    <mergeCell ref="K5:L5"/>
  </mergeCells>
  <conditionalFormatting sqref="E41:E4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BAF207-8FCC-465C-9B40-8F4B52373A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SALES DATA</vt:lpstr>
      <vt:lpstr>INVENTORY</vt:lpstr>
      <vt:lpstr>DEMAND FORECAST</vt:lpstr>
      <vt:lpstr>CASH FLOW</vt:lpstr>
      <vt:lpstr>SCENARIOS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</dc:creator>
  <cp:lastModifiedBy>noah</cp:lastModifiedBy>
  <dcterms:created xsi:type="dcterms:W3CDTF">2026-04-03T09:46:10Z</dcterms:created>
  <dcterms:modified xsi:type="dcterms:W3CDTF">2026-04-09T14:28:23Z</dcterms:modified>
</cp:coreProperties>
</file>